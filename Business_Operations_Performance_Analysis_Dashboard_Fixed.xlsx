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TART HERE" sheetId="1" state="visible" r:id="rId3"/>
    <sheet name="RAW DATA" sheetId="2" state="visible" r:id="rId4"/>
    <sheet name="DATA CLEANING" sheetId="3" state="visible" r:id="rId5"/>
    <sheet name="CLEAN DATA" sheetId="4" state="visible" r:id="rId6"/>
    <sheet name="KPI ANALYSIS" sheetId="5" state="visible" r:id="rId7"/>
    <sheet name="DASHBOARD" sheetId="6" state="visible" r:id="rId8"/>
    <sheet name="BUSINESS INSIGHTS" sheetId="7" state="visible" r:id="rId9"/>
    <sheet name="RECOMMENDATIONS" sheetId="8" state="visible" r:id="rId10"/>
  </sheets>
  <definedNames>
    <definedName function="false" hidden="true" localSheetId="3" name="_xlnm._FilterDatabase" vbProcedure="false">'CLEAN DATA'!$A$1:$K$241</definedName>
    <definedName function="false" hidden="true" localSheetId="1" name="_xlnm._FilterDatabase" vbProcedure="false">'RAW DATA'!$A$1:$K$243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<sst xmlns="http://schemas.openxmlformats.org/spreadsheetml/2006/main" count="2263" uniqueCount="537">
  <si>
    <t xml:space="preserve">NEXORA BUSINESS SERVICES — BUSINESS OPERATIONS &amp; PERFORMANCE ANALYSIS</t>
  </si>
  <si>
    <t xml:space="preserve">PROJECT SUBTITLE</t>
  </si>
  <si>
    <t xml:space="preserve">Identifying Operational Inefficiencies, Measuring Business Performance, and Recommending Data-Driven Improvements</t>
  </si>
  <si>
    <t xml:space="preserve">ANALYST ROLE</t>
  </si>
  <si>
    <t xml:space="preserve">Junior Operations Analyst (Portfolio Simulation Project)</t>
  </si>
  <si>
    <t xml:space="preserve">INDUSTRY &amp; SCENARIO</t>
  </si>
  <si>
    <t xml:space="preserve">Nexora Business Services is a mid-scale B2B operational support and service delivery firm. Across 12 months in 2025, leadership observed growing backlogs, uneven departmental delivery, and increasing operational expenditure. This project provides an end-to-end data audit, KPI evaluation, root-cause diagnostics, and actionable strategic recommendations.</t>
  </si>
  <si>
    <t xml:space="preserve">CORE BUSINESS QUESTIONS</t>
  </si>
  <si>
    <t xml:space="preserve">1. Are operational targets being achieved across departments?
2. What are the primary bottlenecks driving service delays?
3. Where are operating costs escalating disproportionately to output?
4. What is the operational correlation between task delays and customer complaints?
5. What standardized standard operating procedures (SOPs) can restore target adherence?</t>
  </si>
  <si>
    <t xml:space="preserve">PROJECT WORKFLOW</t>
  </si>
  <si>
    <t xml:space="preserve">Raw Data Ingestion → Data Quality Audit &amp; Cleaning → Multi-Level KPI Analysis → Executive Dashboard Visualization → Root-Cause Business Insights → Prioritized Strategic Recommendations</t>
  </si>
  <si>
    <t xml:space="preserve">WORKBOOK ARCHITECTURE</t>
  </si>
  <si>
    <t xml:space="preserve">• START HERE: Project overview, workflow, and navigation guide
• RAW DATA: 242 uncleaned operational records across 4 departments
• DATA CLEANING: Comprehensive audit trail, validation rules, and error resolution log
• CLEAN DATA: 240 structured, validated records used as the single source of truth
• KPI ANALYSIS: Formula-driven summary tables (Company, Departmental, Monthly) with definitions
• DASHBOARD: Executive summary cards, embedded dynamic charts, and operational flags
• BUSINESS INSIGHTS: 10 structured, evidence-backed findings with business interpretations
• RECOMMENDATIONS: 10 prioritized, operational interventions with assigned owners and review cycles</t>
  </si>
  <si>
    <t xml:space="preserve">TOOLS &amp; TECHNOLOGIES</t>
  </si>
  <si>
    <t xml:space="preserve">Microsoft Excel (Advanced Formulas: SUMIFS, COUNTIFS, AVERAGEIFS, INDEX/MATCH, Dynamic Charts), Power BI Desktop (DAX, Data Modeling), Python (Pandas, OpenPyXL, Data Simulation)</t>
  </si>
  <si>
    <t xml:space="preserve">SYNTHETIC DATA DISCLAIMER</t>
  </si>
  <si>
    <t xml:space="preserve">All records, department metrics, financial figures, and operational events contained within this project are synthetic and created strictly for professional portfolio and skill demonstration purposes. They do not represent real company data.</t>
  </si>
  <si>
    <t xml:space="preserve">Record ID</t>
  </si>
  <si>
    <t xml:space="preserve">Month</t>
  </si>
  <si>
    <t xml:space="preserve">Department</t>
  </si>
  <si>
    <t xml:space="preserve">Employee Count</t>
  </si>
  <si>
    <t xml:space="preserve">Working Days</t>
  </si>
  <si>
    <t xml:space="preserve">Target Units</t>
  </si>
  <si>
    <t xml:space="preserve">Actual Units</t>
  </si>
  <si>
    <t xml:space="preserve">Delayed Tasks</t>
  </si>
  <si>
    <t xml:space="preserve">Operating Cost (INR)</t>
  </si>
  <si>
    <t xml:space="preserve">Customer Complaints</t>
  </si>
  <si>
    <t xml:space="preserve">Data Quality Flag</t>
  </si>
  <si>
    <t xml:space="preserve">NEX-1001</t>
  </si>
  <si>
    <t xml:space="preserve">2025-01</t>
  </si>
  <si>
    <t xml:space="preserve">Customer Operations</t>
  </si>
  <si>
    <t xml:space="preserve">Valid</t>
  </si>
  <si>
    <t xml:space="preserve">NEX-1002</t>
  </si>
  <si>
    <t xml:space="preserve">NEX-1003</t>
  </si>
  <si>
    <t xml:space="preserve">NEX-1004</t>
  </si>
  <si>
    <t xml:space="preserve">NEX-1005</t>
  </si>
  <si>
    <t xml:space="preserve">NEX-1006</t>
  </si>
  <si>
    <t xml:space="preserve">Order Processing</t>
  </si>
  <si>
    <t xml:space="preserve">NEX-1007</t>
  </si>
  <si>
    <t xml:space="preserve">NEX-1008</t>
  </si>
  <si>
    <t xml:space="preserve">NEX-1009</t>
  </si>
  <si>
    <t xml:space="preserve">NEX-1010</t>
  </si>
  <si>
    <t xml:space="preserve">NEX-1011</t>
  </si>
  <si>
    <t xml:space="preserve">Service Delivery</t>
  </si>
  <si>
    <t xml:space="preserve">NEX-1012</t>
  </si>
  <si>
    <t xml:space="preserve">NEX-1013</t>
  </si>
  <si>
    <t xml:space="preserve">NEX-1014</t>
  </si>
  <si>
    <t xml:space="preserve">NEX-1015</t>
  </si>
  <si>
    <t xml:space="preserve">NEX-1016</t>
  </si>
  <si>
    <t xml:space="preserve">Quality Assurance</t>
  </si>
  <si>
    <t xml:space="preserve">NEX-1017</t>
  </si>
  <si>
    <t xml:space="preserve">NEX-1018</t>
  </si>
  <si>
    <t xml:space="preserve">NEX-1019</t>
  </si>
  <si>
    <t xml:space="preserve">NEX-1020</t>
  </si>
  <si>
    <t xml:space="preserve">NEX-1021</t>
  </si>
  <si>
    <t xml:space="preserve">2025-02</t>
  </si>
  <si>
    <t xml:space="preserve">NEX-1022</t>
  </si>
  <si>
    <t xml:space="preserve">NEX-1023</t>
  </si>
  <si>
    <t xml:space="preserve">NEX-1024</t>
  </si>
  <si>
    <t xml:space="preserve">NEX-1025</t>
  </si>
  <si>
    <t xml:space="preserve">NEX-1026</t>
  </si>
  <si>
    <t xml:space="preserve">NEX-1027</t>
  </si>
  <si>
    <t xml:space="preserve">NEX-1028</t>
  </si>
  <si>
    <t xml:space="preserve">NEX-1029</t>
  </si>
  <si>
    <t xml:space="preserve">NEX-1030</t>
  </si>
  <si>
    <t xml:space="preserve">NEX-1031</t>
  </si>
  <si>
    <t xml:space="preserve">NEX-1032</t>
  </si>
  <si>
    <t xml:space="preserve">NEX-1033</t>
  </si>
  <si>
    <t xml:space="preserve">Missing Employee Count</t>
  </si>
  <si>
    <t xml:space="preserve">NEX-1034</t>
  </si>
  <si>
    <t xml:space="preserve">NEX-1035</t>
  </si>
  <si>
    <t xml:space="preserve">NEX-1036</t>
  </si>
  <si>
    <t xml:space="preserve">NEX-1037</t>
  </si>
  <si>
    <t xml:space="preserve">NEX-1038</t>
  </si>
  <si>
    <t xml:space="preserve">NEX-1039</t>
  </si>
  <si>
    <t xml:space="preserve">NEX-1040</t>
  </si>
  <si>
    <t xml:space="preserve">NEX-1041</t>
  </si>
  <si>
    <t xml:space="preserve">2025-03</t>
  </si>
  <si>
    <t xml:space="preserve">NEX-1042</t>
  </si>
  <si>
    <t xml:space="preserve">NEX-1043</t>
  </si>
  <si>
    <t xml:space="preserve">NEX-1044</t>
  </si>
  <si>
    <t xml:space="preserve">NEX-1045</t>
  </si>
  <si>
    <t xml:space="preserve">NEX-1046</t>
  </si>
  <si>
    <t xml:space="preserve">NEX-1047</t>
  </si>
  <si>
    <t xml:space="preserve">NEX-1048</t>
  </si>
  <si>
    <t xml:space="preserve">NEX-1049</t>
  </si>
  <si>
    <t xml:space="preserve">NEX-1050</t>
  </si>
  <si>
    <t xml:space="preserve">NEX-1051</t>
  </si>
  <si>
    <t xml:space="preserve">NEX-1052</t>
  </si>
  <si>
    <t xml:space="preserve">NEX-1053</t>
  </si>
  <si>
    <t xml:space="preserve">NEX-1054</t>
  </si>
  <si>
    <t xml:space="preserve">NEX-1055</t>
  </si>
  <si>
    <t xml:space="preserve">NEX-1056</t>
  </si>
  <si>
    <t xml:space="preserve">NEX-1057</t>
  </si>
  <si>
    <t xml:space="preserve">NEX-1058</t>
  </si>
  <si>
    <t xml:space="preserve">NEX-1059</t>
  </si>
  <si>
    <t xml:space="preserve">NEX-1060</t>
  </si>
  <si>
    <t xml:space="preserve">NEX-1061</t>
  </si>
  <si>
    <t xml:space="preserve">2025-04</t>
  </si>
  <si>
    <t xml:space="preserve">NEX-1062</t>
  </si>
  <si>
    <t xml:space="preserve">NEX-1063</t>
  </si>
  <si>
    <t xml:space="preserve">NEX-1064</t>
  </si>
  <si>
    <t xml:space="preserve">NEX-1065</t>
  </si>
  <si>
    <t xml:space="preserve">NEX-1066</t>
  </si>
  <si>
    <t xml:space="preserve">NEX-1067</t>
  </si>
  <si>
    <t xml:space="preserve">NEX-1068</t>
  </si>
  <si>
    <t xml:space="preserve">NEX-1069</t>
  </si>
  <si>
    <t xml:space="preserve">NEX-1070</t>
  </si>
  <si>
    <t xml:space="preserve">NEX-1071</t>
  </si>
  <si>
    <t xml:space="preserve">NEX-1072</t>
  </si>
  <si>
    <t xml:space="preserve">NEX-1073</t>
  </si>
  <si>
    <t xml:space="preserve">NEX-1074</t>
  </si>
  <si>
    <t xml:space="preserve">NEX-1075</t>
  </si>
  <si>
    <t xml:space="preserve">NEX-1076</t>
  </si>
  <si>
    <t xml:space="preserve">NEX-1077</t>
  </si>
  <si>
    <t xml:space="preserve">NEX-1078</t>
  </si>
  <si>
    <t xml:space="preserve">NEX-1079</t>
  </si>
  <si>
    <t xml:space="preserve">NEX-1080</t>
  </si>
  <si>
    <t xml:space="preserve">NEX-1081</t>
  </si>
  <si>
    <t xml:space="preserve">2025-05</t>
  </si>
  <si>
    <t xml:space="preserve">NEX-1082</t>
  </si>
  <si>
    <t xml:space="preserve">NEX-1083</t>
  </si>
  <si>
    <t xml:space="preserve">NEX-1084</t>
  </si>
  <si>
    <t xml:space="preserve">NEX-1085</t>
  </si>
  <si>
    <t xml:space="preserve">NEX-1086</t>
  </si>
  <si>
    <t xml:space="preserve">NEX-1087</t>
  </si>
  <si>
    <t xml:space="preserve">NEX-1088</t>
  </si>
  <si>
    <t xml:space="preserve">NEX-1089</t>
  </si>
  <si>
    <t xml:space="preserve">NEX-1090</t>
  </si>
  <si>
    <t xml:space="preserve">NEX-1091</t>
  </si>
  <si>
    <t xml:space="preserve">NEX-1092</t>
  </si>
  <si>
    <t xml:space="preserve">NEX-1093</t>
  </si>
  <si>
    <t xml:space="preserve">NEX-1094</t>
  </si>
  <si>
    <t xml:space="preserve">NEX-1095</t>
  </si>
  <si>
    <t xml:space="preserve">NEX-1096</t>
  </si>
  <si>
    <t xml:space="preserve">NEX-1097</t>
  </si>
  <si>
    <t xml:space="preserve">NEX-1098</t>
  </si>
  <si>
    <t xml:space="preserve">NEX-1099</t>
  </si>
  <si>
    <t xml:space="preserve">NEX-1100</t>
  </si>
  <si>
    <t xml:space="preserve">NEX-1101</t>
  </si>
  <si>
    <t xml:space="preserve">2025-06</t>
  </si>
  <si>
    <t xml:space="preserve">NEX-1102</t>
  </si>
  <si>
    <t xml:space="preserve">NEX-1103</t>
  </si>
  <si>
    <t xml:space="preserve">NEX-1104</t>
  </si>
  <si>
    <t xml:space="preserve">NEX-1105</t>
  </si>
  <si>
    <t xml:space="preserve">NEX-1106</t>
  </si>
  <si>
    <t xml:space="preserve">NEX-1107</t>
  </si>
  <si>
    <t xml:space="preserve">NEX-1108</t>
  </si>
  <si>
    <t xml:space="preserve">NEX-1109</t>
  </si>
  <si>
    <t xml:space="preserve">NEX-1110</t>
  </si>
  <si>
    <t xml:space="preserve">NEX-1111</t>
  </si>
  <si>
    <t xml:space="preserve">NEX-1112</t>
  </si>
  <si>
    <t xml:space="preserve">NEX-1113</t>
  </si>
  <si>
    <t xml:space="preserve">Negative Delay Entry</t>
  </si>
  <si>
    <t xml:space="preserve">NEX-1114</t>
  </si>
  <si>
    <t xml:space="preserve">NEX-1115</t>
  </si>
  <si>
    <t xml:space="preserve">NEX-1116</t>
  </si>
  <si>
    <t xml:space="preserve">NEX-1117</t>
  </si>
  <si>
    <t xml:space="preserve">NEX-1118</t>
  </si>
  <si>
    <t xml:space="preserve">NEX-1119</t>
  </si>
  <si>
    <t xml:space="preserve">NEX-1120</t>
  </si>
  <si>
    <t xml:space="preserve">NEX-1121</t>
  </si>
  <si>
    <t xml:space="preserve">2025-07</t>
  </si>
  <si>
    <t xml:space="preserve">NEX-1122</t>
  </si>
  <si>
    <t xml:space="preserve">NEX-1123</t>
  </si>
  <si>
    <t xml:space="preserve">NEX-1124</t>
  </si>
  <si>
    <t xml:space="preserve">NEX-1125</t>
  </si>
  <si>
    <t xml:space="preserve">NEX-1126</t>
  </si>
  <si>
    <t xml:space="preserve">NEX-1127</t>
  </si>
  <si>
    <t xml:space="preserve">NEX-1128</t>
  </si>
  <si>
    <t xml:space="preserve">NEX-1129</t>
  </si>
  <si>
    <t xml:space="preserve">NEX-1130</t>
  </si>
  <si>
    <t xml:space="preserve">NEX-1131</t>
  </si>
  <si>
    <t xml:space="preserve">NEX-1132</t>
  </si>
  <si>
    <t xml:space="preserve">NEX-1133</t>
  </si>
  <si>
    <t xml:space="preserve">NEX-1134</t>
  </si>
  <si>
    <t xml:space="preserve">NEX-1135</t>
  </si>
  <si>
    <t xml:space="preserve">NEX-1136</t>
  </si>
  <si>
    <t xml:space="preserve">NEX-1137</t>
  </si>
  <si>
    <t xml:space="preserve">NEX-1138</t>
  </si>
  <si>
    <t xml:space="preserve">NEX-1139</t>
  </si>
  <si>
    <t xml:space="preserve">NEX-1140</t>
  </si>
  <si>
    <t xml:space="preserve">NEX-1141</t>
  </si>
  <si>
    <t xml:space="preserve">2025-08</t>
  </si>
  <si>
    <t xml:space="preserve">NEX-1142</t>
  </si>
  <si>
    <t xml:space="preserve">NEX-1143</t>
  </si>
  <si>
    <t xml:space="preserve">NEX-1144</t>
  </si>
  <si>
    <t xml:space="preserve">NEX-1145</t>
  </si>
  <si>
    <t xml:space="preserve">NEX-1146</t>
  </si>
  <si>
    <t xml:space="preserve">NEX-1147</t>
  </si>
  <si>
    <t xml:space="preserve">NEX-1148</t>
  </si>
  <si>
    <t xml:space="preserve">NEX-1149</t>
  </si>
  <si>
    <t xml:space="preserve">NEX-1150</t>
  </si>
  <si>
    <t xml:space="preserve">NEX-1151</t>
  </si>
  <si>
    <t xml:space="preserve">NEX-1152</t>
  </si>
  <si>
    <t xml:space="preserve">NEX-1153</t>
  </si>
  <si>
    <t xml:space="preserve">NEX-1154</t>
  </si>
  <si>
    <t xml:space="preserve">NEX-1155</t>
  </si>
  <si>
    <t xml:space="preserve">NEX-1156</t>
  </si>
  <si>
    <t xml:space="preserve">NEX-1157</t>
  </si>
  <si>
    <t xml:space="preserve">NEX-1158</t>
  </si>
  <si>
    <t xml:space="preserve">NEX-1159</t>
  </si>
  <si>
    <t xml:space="preserve">NEX-1160</t>
  </si>
  <si>
    <t xml:space="preserve">NEX-1161</t>
  </si>
  <si>
    <t xml:space="preserve">2025-09</t>
  </si>
  <si>
    <t xml:space="preserve">NEX-1162</t>
  </si>
  <si>
    <t xml:space="preserve">NEX-1163</t>
  </si>
  <si>
    <t xml:space="preserve">NEX-1164</t>
  </si>
  <si>
    <t xml:space="preserve">NEX-1165</t>
  </si>
  <si>
    <t xml:space="preserve">NEX-1166</t>
  </si>
  <si>
    <t xml:space="preserve">service delivery</t>
  </si>
  <si>
    <t xml:space="preserve">Inconsistent Casing</t>
  </si>
  <si>
    <t xml:space="preserve">NEX-1167</t>
  </si>
  <si>
    <t xml:space="preserve">NEX-1168</t>
  </si>
  <si>
    <t xml:space="preserve">NEX-1169</t>
  </si>
  <si>
    <t xml:space="preserve">NEX-1170</t>
  </si>
  <si>
    <t xml:space="preserve">NEX-1171</t>
  </si>
  <si>
    <t xml:space="preserve">NEX-1172</t>
  </si>
  <si>
    <t xml:space="preserve">NEX-1173</t>
  </si>
  <si>
    <t xml:space="preserve">NEX-1174</t>
  </si>
  <si>
    <t xml:space="preserve">NEX-1175</t>
  </si>
  <si>
    <t xml:space="preserve">NEX-1176</t>
  </si>
  <si>
    <t xml:space="preserve">NEX-1177</t>
  </si>
  <si>
    <t xml:space="preserve">NEX-1178</t>
  </si>
  <si>
    <t xml:space="preserve">NEX-1179</t>
  </si>
  <si>
    <t xml:space="preserve">NEX-1180</t>
  </si>
  <si>
    <t xml:space="preserve">NEX-1181</t>
  </si>
  <si>
    <t xml:space="preserve">2025-10</t>
  </si>
  <si>
    <t xml:space="preserve">NEX-1182</t>
  </si>
  <si>
    <t xml:space="preserve">NEX-1183</t>
  </si>
  <si>
    <t xml:space="preserve">NEX-1184</t>
  </si>
  <si>
    <t xml:space="preserve">NEX-1185</t>
  </si>
  <si>
    <t xml:space="preserve">NEX-1186</t>
  </si>
  <si>
    <t xml:space="preserve">NEX-1187</t>
  </si>
  <si>
    <t xml:space="preserve">NEX-1188</t>
  </si>
  <si>
    <t xml:space="preserve">NEX-1189</t>
  </si>
  <si>
    <t xml:space="preserve">NEX-1190</t>
  </si>
  <si>
    <t xml:space="preserve">NEX-1191</t>
  </si>
  <si>
    <t xml:space="preserve">NEX-1192</t>
  </si>
  <si>
    <t xml:space="preserve">NEX-1193</t>
  </si>
  <si>
    <t xml:space="preserve">NEX-1194</t>
  </si>
  <si>
    <t xml:space="preserve">NEX-1195</t>
  </si>
  <si>
    <t xml:space="preserve">NEX-1196</t>
  </si>
  <si>
    <t xml:space="preserve">NEX-1197</t>
  </si>
  <si>
    <t xml:space="preserve">NEX-1198</t>
  </si>
  <si>
    <t xml:space="preserve">NEX-1199</t>
  </si>
  <si>
    <t xml:space="preserve">NEX-1200</t>
  </si>
  <si>
    <t xml:space="preserve">NEX-1201</t>
  </si>
  <si>
    <t xml:space="preserve">2025-11</t>
  </si>
  <si>
    <t xml:space="preserve">NEX-1202</t>
  </si>
  <si>
    <t xml:space="preserve">NEX-1203</t>
  </si>
  <si>
    <t xml:space="preserve">NEX-1204</t>
  </si>
  <si>
    <t xml:space="preserve">NEX-1205</t>
  </si>
  <si>
    <t xml:space="preserve">NEX-1206</t>
  </si>
  <si>
    <t xml:space="preserve">NEX-1207</t>
  </si>
  <si>
    <t xml:space="preserve">NEX-1208</t>
  </si>
  <si>
    <t xml:space="preserve">NEX-1209</t>
  </si>
  <si>
    <t xml:space="preserve">NEX-1210</t>
  </si>
  <si>
    <t xml:space="preserve">NEX-1211</t>
  </si>
  <si>
    <t xml:space="preserve">NEX-1212</t>
  </si>
  <si>
    <t xml:space="preserve">NEX-1213</t>
  </si>
  <si>
    <t xml:space="preserve">NEX-1214</t>
  </si>
  <si>
    <t xml:space="preserve">NEX-1215</t>
  </si>
  <si>
    <t xml:space="preserve">NEX-1216</t>
  </si>
  <si>
    <t xml:space="preserve">NEX-1217</t>
  </si>
  <si>
    <t xml:space="preserve">NEX-1218</t>
  </si>
  <si>
    <t xml:space="preserve">NEX-1219</t>
  </si>
  <si>
    <t xml:space="preserve">NEX-1220</t>
  </si>
  <si>
    <t xml:space="preserve">NEX-1221</t>
  </si>
  <si>
    <t xml:space="preserve">2025-12</t>
  </si>
  <si>
    <t xml:space="preserve">NEX-1222</t>
  </si>
  <si>
    <t xml:space="preserve">NEX-1223</t>
  </si>
  <si>
    <t xml:space="preserve">NEX-1224</t>
  </si>
  <si>
    <t xml:space="preserve">NEX-1225</t>
  </si>
  <si>
    <t xml:space="preserve">NEX-1226</t>
  </si>
  <si>
    <t xml:space="preserve">NEX-1227</t>
  </si>
  <si>
    <t xml:space="preserve">NEX-1228</t>
  </si>
  <si>
    <t xml:space="preserve">NEX-1229</t>
  </si>
  <si>
    <t xml:space="preserve">NEX-1230</t>
  </si>
  <si>
    <t xml:space="preserve">NEX-1231</t>
  </si>
  <si>
    <t xml:space="preserve">NEX-1232</t>
  </si>
  <si>
    <t xml:space="preserve">NEX-1233</t>
  </si>
  <si>
    <t xml:space="preserve">NEX-1234</t>
  </si>
  <si>
    <t xml:space="preserve">NEX-1235</t>
  </si>
  <si>
    <t xml:space="preserve">NEX-1236</t>
  </si>
  <si>
    <t xml:space="preserve">NEX-1237</t>
  </si>
  <si>
    <t xml:space="preserve">NEX-1238</t>
  </si>
  <si>
    <t xml:space="preserve">NEX-1239</t>
  </si>
  <si>
    <t xml:space="preserve">NEX-1240</t>
  </si>
  <si>
    <t xml:space="preserve">DATA QUALITY AUDIT &amp; ETL PIPELINE LOG</t>
  </si>
  <si>
    <t xml:space="preserve">Audit Metric / Pipeline Step</t>
  </si>
  <si>
    <t xml:space="preserve">Initial Value</t>
  </si>
  <si>
    <t xml:space="preserve">Issues Identified</t>
  </si>
  <si>
    <t xml:space="preserve">Remediation Applied</t>
  </si>
  <si>
    <t xml:space="preserve">Final Validated State</t>
  </si>
  <si>
    <t xml:space="preserve">Impact on Downstream Analysis</t>
  </si>
  <si>
    <t xml:space="preserve">Total Record Ingestion</t>
  </si>
  <si>
    <t xml:space="preserve">242 Rows</t>
  </si>
  <si>
    <t xml:space="preserve">Ingested from 4 business operational unit logs</t>
  </si>
  <si>
    <t xml:space="preserve">Loaded into raw staging repository</t>
  </si>
  <si>
    <t xml:space="preserve">242 Raw Rows</t>
  </si>
  <si>
    <t xml:space="preserve">Full baseline capturing all sub-unit reports</t>
  </si>
  <si>
    <t xml:space="preserve">Duplicate Records Check</t>
  </si>
  <si>
    <t xml:space="preserve">2 Duplicates</t>
  </si>
  <si>
    <t xml:space="preserve">2 exact duplicate rows detected (NEX-1015, NEX-1089)</t>
  </si>
  <si>
    <t xml:space="preserve">Removed using exact record match filtering</t>
  </si>
  <si>
    <t xml:space="preserve">0 Duplicates (240 unique records)</t>
  </si>
  <si>
    <t xml:space="preserve">Eliminates double counting of target and cost figures</t>
  </si>
  <si>
    <t xml:space="preserve">Missing Value Analysis</t>
  </si>
  <si>
    <t xml:space="preserve">1 Missing</t>
  </si>
  <si>
    <t xml:space="preserve">1 row had NULL Employee Count (NEX-1033)</t>
  </si>
  <si>
    <t xml:space="preserve">Departmental median imputation (Order Processing median = 21)</t>
  </si>
  <si>
    <t xml:space="preserve">0 Missing Values</t>
  </si>
  <si>
    <t xml:space="preserve">Prevents skewed labor capacity and output per FTE metrics</t>
  </si>
  <si>
    <t xml:space="preserve">Domain Range Validation</t>
  </si>
  <si>
    <t xml:space="preserve">1 Negative Values</t>
  </si>
  <si>
    <t xml:space="preserve">1 negative delayed task entry (NEX-1113: -4)</t>
  </si>
  <si>
    <t xml:space="preserve">Corrected to absolute value (+4) based on supervisor logs</t>
  </si>
  <si>
    <t xml:space="preserve">All numeric metrics &gt;= 0</t>
  </si>
  <si>
    <t xml:space="preserve">Maintains positive delay rates and valid variance bounds</t>
  </si>
  <si>
    <t xml:space="preserve">Categorical Standardization</t>
  </si>
  <si>
    <t xml:space="preserve">1 Inconsistent</t>
  </si>
  <si>
    <t xml:space="preserve">Lower-case department naming ('service delivery')</t>
  </si>
  <si>
    <t xml:space="preserve">Standardized to Proper Case ('Service Delivery')</t>
  </si>
  <si>
    <t xml:space="preserve">100% Uniform Categorical Keys</t>
  </si>
  <si>
    <t xml:space="preserve">Ensures accurate SUMIFS and group-by aggregations</t>
  </si>
  <si>
    <t xml:space="preserve">Logical Consistency Checks</t>
  </si>
  <si>
    <t xml:space="preserve">240 Records</t>
  </si>
  <si>
    <t xml:space="preserve">Delayed Tasks checked against Actual Units processed</t>
  </si>
  <si>
    <t xml:space="preserve">Verified Delayed Tasks &lt;= Actual Units for all rows</t>
  </si>
  <si>
    <t xml:space="preserve">Pass (Max delay ratio = 26.5%)</t>
  </si>
  <si>
    <t xml:space="preserve">Ensures delay rate proxy remains mathematically bounded</t>
  </si>
  <si>
    <t xml:space="preserve">Final Usable Record Count</t>
  </si>
  <si>
    <t xml:space="preserve">240 Valid Rows</t>
  </si>
  <si>
    <t xml:space="preserve">None remaining</t>
  </si>
  <si>
    <t xml:space="preserve">Transferred to CLEAN DATA worksheet</t>
  </si>
  <si>
    <t xml:space="preserve">240 Clean Records</t>
  </si>
  <si>
    <t xml:space="preserve">Single source of truth for all formulas and BI models</t>
  </si>
  <si>
    <t xml:space="preserve">Cleaned &amp; Validated</t>
  </si>
  <si>
    <t xml:space="preserve">OPERATIONAL KEY PERFORMANCE INDICATORS (FORMULA ENGINE)</t>
  </si>
  <si>
    <t xml:space="preserve">A. OVERALL COMPANY PERFORMANCE METRICS (ANNUAL)</t>
  </si>
  <si>
    <t xml:space="preserve">Total Target Units</t>
  </si>
  <si>
    <t xml:space="preserve">Total volume of scheduled operational tasks</t>
  </si>
  <si>
    <t xml:space="preserve">Total Actual Units</t>
  </si>
  <si>
    <t xml:space="preserve">Total volume of successfully completed tasks</t>
  </si>
  <si>
    <t xml:space="preserve">Overall Target Achievement %</t>
  </si>
  <si>
    <t xml:space="preserve">Weighted output vs target across all departments</t>
  </si>
  <si>
    <t xml:space="preserve">Total Delayed Tasks</t>
  </si>
  <si>
    <t xml:space="preserve">Number of completed tasks that breached standard SLA</t>
  </si>
  <si>
    <t xml:space="preserve">Overall Delay Rate %</t>
  </si>
  <si>
    <t xml:space="preserve">Percentage of completed units delivered with delay</t>
  </si>
  <si>
    <t xml:space="preserve">Total Operating Cost</t>
  </si>
  <si>
    <t xml:space="preserve">Sum of personnel, overhead, and departmental spend</t>
  </si>
  <si>
    <t xml:space="preserve">Cost per Completed Unit</t>
  </si>
  <si>
    <t xml:space="preserve">Average operational cost incurred per completed unit</t>
  </si>
  <si>
    <t xml:space="preserve">Total Customer Complaints</t>
  </si>
  <si>
    <t xml:space="preserve">Total service escalations and formal customer tickets</t>
  </si>
  <si>
    <t xml:space="preserve">Average Monthly Achievement %</t>
  </si>
  <si>
    <t xml:space="preserve">Unweighted mean of 12 monthly achievement percentages</t>
  </si>
  <si>
    <t xml:space="preserve">Months Meeting Target (&gt;=100%)</t>
  </si>
  <si>
    <t xml:space="preserve">Count of calendar months hitting or exceeding target</t>
  </si>
  <si>
    <t xml:space="preserve">Months Below Target (&lt;100%)</t>
  </si>
  <si>
    <t xml:space="preserve">Count of calendar months falling short of target</t>
  </si>
  <si>
    <t xml:space="preserve">B. MONTHLY PERFORMANCE BREAKDOWN (12 MONTHS)</t>
  </si>
  <si>
    <t xml:space="preserve">Achievement %</t>
  </si>
  <si>
    <t xml:space="preserve">Delay Rate %</t>
  </si>
  <si>
    <t xml:space="preserve">Cost / Unit (INR)</t>
  </si>
  <si>
    <t xml:space="preserve">MoM Actual Growth %</t>
  </si>
  <si>
    <t xml:space="preserve">MoM Cost Growth %</t>
  </si>
  <si>
    <t xml:space="preserve">N/A</t>
  </si>
  <si>
    <t xml:space="preserve">C. DEPARTMENT-LEVEL OPERATIONAL BENCHMARKING</t>
  </si>
  <si>
    <t xml:space="preserve">Avg FTE</t>
  </si>
  <si>
    <t xml:space="preserve">Output / FTE-Day</t>
  </si>
  <si>
    <t xml:space="preserve">Operational Status</t>
  </si>
  <si>
    <t xml:space="preserve">Stable / Monitoring</t>
  </si>
  <si>
    <t xml:space="preserve">High SLA Risk</t>
  </si>
  <si>
    <t xml:space="preserve">High Efficiency</t>
  </si>
  <si>
    <t xml:space="preserve">EXECUTIVE OPERATIONS DASHBOARD — FY2025 PERFORMANCE</t>
  </si>
  <si>
    <t xml:space="preserve">Synthetic Operational Data for Portfolio Demonstration | Scope: 4 Operational Departments, 12 Calendar Months</t>
  </si>
  <si>
    <t xml:space="preserve">TOTAL TARGET UNITS</t>
  </si>
  <si>
    <t xml:space="preserve">TOTAL ACTUAL UNITS</t>
  </si>
  <si>
    <t xml:space="preserve">ACHIEVEMENT RATE</t>
  </si>
  <si>
    <t xml:space="preserve">DELAYED TASKS</t>
  </si>
  <si>
    <t xml:space="preserve">OPERATING COST</t>
  </si>
  <si>
    <t xml:space="preserve">COST PER UNIT</t>
  </si>
  <si>
    <t xml:space="preserve">TOTAL COMPLAINTS</t>
  </si>
  <si>
    <t xml:space="preserve">EVIDENCE-BASED OPERATIONAL INSIGHTS &amp; ROOT-CAUSE ANALYSIS</t>
  </si>
  <si>
    <t xml:space="preserve">Insight #</t>
  </si>
  <si>
    <t xml:space="preserve">Core Finding</t>
  </si>
  <si>
    <t xml:space="preserve">Supporting Numerical Evidence</t>
  </si>
  <si>
    <t xml:space="preserve">Business Interpretation &amp; Context</t>
  </si>
  <si>
    <t xml:space="preserve">Potential Operational Impact</t>
  </si>
  <si>
    <t xml:space="preserve">Recommended Analytical / Management Action</t>
  </si>
  <si>
    <t xml:space="preserve">INSIGHT 1</t>
  </si>
  <si>
    <t xml:space="preserve">Company-Wide Target Shortfall Across FY2025</t>
  </si>
  <si>
    <t xml:space="preserve">Total target: 77,334 units; Total actual: 74,164 units. Overall achievement stands at 95.90%, with 0 out of 12 months hitting 100%.</t>
  </si>
  <si>
    <t xml:space="preserve">Nexora exhibits chronic monthly capacity deficits averaging ~4.1% below target, indicating systematic over-budgeting of operational throughput or persistent under-capacity.</t>
  </si>
  <si>
    <t xml:space="preserve">Revenue recognition delays, client penalty fees for SLA defaults, and recurring end-of-quarter team burnout.</t>
  </si>
  <si>
    <t xml:space="preserve">Recalibrate baseline monthly capacity planning models and institute standard 85% capacity buffers for demand volatility.</t>
  </si>
  <si>
    <t xml:space="preserve">INSIGHT 2</t>
  </si>
  <si>
    <t xml:space="preserve">Severe Operational Bottleneck in Service Delivery</t>
  </si>
  <si>
    <t xml:space="preserve">Service Delivery recorded the lowest target achievement (94.15%), highest delayed tasks (1,674 tasks), and highest delay rate (15.69%).</t>
  </si>
  <si>
    <t xml:space="preserve">Service Delivery is the primary operational friction point. Its delay rate is 4x higher than Quality Assurance (3.93%) and 3x higher than Order Processing (5.05%).</t>
  </si>
  <si>
    <t xml:space="preserve">Downstream project delivery delays, severe customer frustration, and inflated support escalation costs.</t>
  </si>
  <si>
    <t xml:space="preserve">Execute an end-to-end process value-stream mapping in Service Delivery to eliminate manual handoffs and legacy review gates.</t>
  </si>
  <si>
    <t xml:space="preserve">INSIGHT 3</t>
  </si>
  <si>
    <t xml:space="preserve">Disproportionately High Unit Cost in Service Delivery</t>
  </si>
  <si>
    <t xml:space="preserve">Service Delivery unit cost is ₹385.45/unit, which is 165% higher than Quality Assurance (₹145.08/unit) and 128% higher than Order Processing (₹168.91/unit).</t>
  </si>
  <si>
    <t xml:space="preserve">Low output volumes (10,671 units) paired with high fixed overhead and excessive rework costs make Service Delivery the most financially inefficient department.</t>
  </si>
  <si>
    <t xml:space="preserve">Erosion of gross service margin and inefficient allocation of corporate capital expenditure.</t>
  </si>
  <si>
    <t xml:space="preserve">Conduct a zero-based cost audit of Service Delivery vendor licenses, overtime allowances, and supervisory ratios.</t>
  </si>
  <si>
    <t xml:space="preserve">INSIGHT 4</t>
  </si>
  <si>
    <t xml:space="preserve">Strong Positive Correlation Between Delays and Customer Complaints</t>
  </si>
  <si>
    <t xml:space="preserve">Service Delivery accounts for 49.19% of all corporate complaints (971 / 1,974) while generating only 14.39% of total output units.</t>
  </si>
  <si>
    <t xml:space="preserve">Customer satisfaction is intimately tied to turnaround time rather than pure delivery volume. Service delivery delays directly trigger client friction.</t>
  </si>
  <si>
    <t xml:space="preserve">Client churn, negative brand reputation in B2B service bids, and loss of contract renewal revenue.</t>
  </si>
  <si>
    <t xml:space="preserve">Establish proactive milestone notification triggers to alert clients before SLA breaches occur, mitigating grievance severity.</t>
  </si>
  <si>
    <t xml:space="preserve">INSIGHT 5</t>
  </si>
  <si>
    <t xml:space="preserve">Q3 Summer &amp; System Migration Dip (July - September)</t>
  </si>
  <si>
    <t xml:space="preserve">Achievement dropped to annual lows in August (92.83%) and September (93.18%), while delayed tasks peaked at 524 and 519 tasks respectively.</t>
  </si>
  <si>
    <t xml:space="preserve">Internal system upgrades, staff vacation clustering, and seasonal workflow transition severely disrupted processing velocity during Q3.</t>
  </si>
  <si>
    <t xml:space="preserve">Loss of client trust during key mid-year business reviews and massive ticket backlogs rolling into Q4.</t>
  </si>
  <si>
    <t xml:space="preserve">Mandate staggered leave policies and conduct software/system migrations exclusively during off-peak weekend freeze windows.</t>
  </si>
  <si>
    <t xml:space="preserve">INSIGHT 6</t>
  </si>
  <si>
    <t xml:space="preserve">Operating Cost Creep Outpacing Operational Output</t>
  </si>
  <si>
    <t xml:space="preserve">Annual operating cost reached ₹15,789,176. Average monthly cost rose from ₹1,209,794 in Jan to ₹1,438,280 in Dec (+18.89%), while output grew only +9.81%.</t>
  </si>
  <si>
    <t xml:space="preserve">Operational expenses are inflating faster than task completion, driven primarily by emergency overtime pay to address backlogs.</t>
  </si>
  <si>
    <t xml:space="preserve">Compounding margin compression; operational scaling is currently uneconomical (negative operating leverage).</t>
  </si>
  <si>
    <t xml:space="preserve">Cap ad-hoc departmental overtime authorization and introduce automated task routing to optimize regular-hour utilization.</t>
  </si>
  <si>
    <t xml:space="preserve">INSIGHT 7</t>
  </si>
  <si>
    <t xml:space="preserve">Quality Assurance Exhibits World-Class Operational Efficiency</t>
  </si>
  <si>
    <t xml:space="preserve">QA achieved 96.50% target attainment, lowest delay rate (3.93%), lowest unit cost (₹145.08), and generated only 130 complaints (6.59% of total).</t>
  </si>
  <si>
    <t xml:space="preserve">QA operates with high standardization, automated test scripts, and clear escalation protocols, serving as a corporate operational benchmark.</t>
  </si>
  <si>
    <t xml:space="preserve">Demonstrates that standardized processes can compress costs while dramatically reducing customer dissatisfaction.</t>
  </si>
  <si>
    <t xml:space="preserve">Document Quality Assurance operating models as the internal gold standard and cross-train team leads across other departments.</t>
  </si>
  <si>
    <t xml:space="preserve">INSIGHT 8</t>
  </si>
  <si>
    <t xml:space="preserve">Order Processing Drives Highest Volume at Balanced Efficiency</t>
  </si>
  <si>
    <t xml:space="preserve">Order Processing processed 29,915 units (40.34% of company total) with a 96.68% target achievement and low delay rate (5.05%).</t>
  </si>
  <si>
    <t xml:space="preserve">Order Processing is the core volume engine of Nexora. It functions with strong baseline productivity (1.05 units/FTE-day).</t>
  </si>
  <si>
    <t xml:space="preserve">Stability in Order Processing protects core corporate cash flow, but minor delays here still represent 1,510 delayed customer transactions.</t>
  </si>
  <si>
    <t xml:space="preserve">Deploy RPA (Robotic Process Automation) bots to absorb routine manual data entry and elevate achievement above 99%.</t>
  </si>
  <si>
    <t xml:space="preserve">INSIGHT 9</t>
  </si>
  <si>
    <t xml:space="preserve">Customer Operations Experiences High Friction During Festive Volume Spikes</t>
  </si>
  <si>
    <t xml:space="preserve">Customer complaints surged in October (195) and November (203) in Customer Operations as unit volumes surged by 14% MoM.</t>
  </si>
  <si>
    <t xml:space="preserve">Customer Operations lacks elastic capacity during peak festive demand cycles, leading to agent fatigue and dropped ticket resolutions.</t>
  </si>
  <si>
    <t xml:space="preserve">Overwhelmed customer touchpoints generate high dissatisfaction during high-visibility commercial seasons.</t>
  </si>
  <si>
    <t xml:space="preserve">Contract flexible temporary contract staff or implement tier-1 conversational AI bots to handle standard customer queries during Q4 peaks.</t>
  </si>
  <si>
    <t xml:space="preserve">INSIGHT 10</t>
  </si>
  <si>
    <t xml:space="preserve">Productivity Disparities Between High and Low-Performing Teams</t>
  </si>
  <si>
    <t xml:space="preserve">Output per Employee-Day varies from 1.51 in Quality Assurance to 0.64 in Service Delivery (a 2.36x productivity differential).</t>
  </si>
  <si>
    <t xml:space="preserve">Work complexity differences exist, but lack of standard cycle-time benchmarks in Service Delivery allows significant productivity leakage.</t>
  </si>
  <si>
    <t xml:space="preserve">Inequitable workload distribution, low employee morale, and inflated operational headcount requests.</t>
  </si>
  <si>
    <t xml:space="preserve">Implement standardized cycle-time tracking per task type to establish fair, transparent operational throughput baselines.</t>
  </si>
  <si>
    <t xml:space="preserve">DATA-DRIVEN STRATEGIC RECOMMENDATIONS &amp; IMPLEMENTATION ROADMAP</t>
  </si>
  <si>
    <t xml:space="preserve">Rec #</t>
  </si>
  <si>
    <t xml:space="preserve">Identified Operational Problem</t>
  </si>
  <si>
    <t xml:space="preserve">Recommended Action Plan</t>
  </si>
  <si>
    <t xml:space="preserve">Owner Department</t>
  </si>
  <si>
    <t xml:space="preserve">Priority</t>
  </si>
  <si>
    <t xml:space="preserve">Expected Operational Benefit</t>
  </si>
  <si>
    <t xml:space="preserve">Target KPI to Monitor</t>
  </si>
  <si>
    <t xml:space="preserve">Review Cycle</t>
  </si>
  <si>
    <t xml:space="preserve">Proposed Management Goal</t>
  </si>
  <si>
    <t xml:space="preserve">REC 01</t>
  </si>
  <si>
    <t xml:space="preserve">Service Delivery excessive task delay rate (15.69%)</t>
  </si>
  <si>
    <t xml:space="preserve">Deploy Lean Six Sigma value-stream mapping to remove multi-layer manual signoffs; introduce daily 15-min standup blocker clearing.</t>
  </si>
  <si>
    <t xml:space="preserve">High</t>
  </si>
  <si>
    <t xml:space="preserve">Eliminates task idling and accelerates turnaround cycle time.</t>
  </si>
  <si>
    <t xml:space="preserve">Bi-Weekly</t>
  </si>
  <si>
    <t xml:space="preserve">Reduce delay rate from 15.69% to &lt; 8.00%</t>
  </si>
  <si>
    <t xml:space="preserve">REC 02</t>
  </si>
  <si>
    <t xml:space="preserve">Severe concentration of customer complaints in Service Delivery (49.2%)</t>
  </si>
  <si>
    <t xml:space="preserve">Implement an automated client notification trigger when task processing exceeds 75% of SLA threshold; provide proactive updates.</t>
  </si>
  <si>
    <t xml:space="preserve">Service Delivery &amp; IT</t>
  </si>
  <si>
    <t xml:space="preserve">Dampens customer frustration and prevents avoidable escalations.</t>
  </si>
  <si>
    <t xml:space="preserve">Monthly</t>
  </si>
  <si>
    <t xml:space="preserve">Reduce monthly complaints by 40% (to &lt; 50/mo)</t>
  </si>
  <si>
    <t xml:space="preserve">REC 03</t>
  </si>
  <si>
    <t xml:space="preserve">Inflated unit cost in Service Delivery (₹385.45/unit)</t>
  </si>
  <si>
    <t xml:space="preserve">Audit software subscriptions, reallocate non-core administrative overhead, and limit emergency overtime through capacity balancing.</t>
  </si>
  <si>
    <t xml:space="preserve">Finance &amp; Operations</t>
  </si>
  <si>
    <t xml:space="preserve">Direct reduction in departmental burn rate and improved gross margins.</t>
  </si>
  <si>
    <t xml:space="preserve">Lower unit cost from ₹385.45 to &lt; ₹290.00</t>
  </si>
  <si>
    <t xml:space="preserve">REC 04</t>
  </si>
  <si>
    <t xml:space="preserve">Q4 festive capacity deficit in Customer Operations</t>
  </si>
  <si>
    <t xml:space="preserve">Introduce temporary contract staffing during Oct-Nov peaks and implement conversational AI for Tier-1 FAQ resolutions.</t>
  </si>
  <si>
    <t xml:space="preserve">Customer Operations &amp; HR</t>
  </si>
  <si>
    <t xml:space="preserve">Medium</t>
  </si>
  <si>
    <t xml:space="preserve">Absorbs demand surges without burning out full-time staff.</t>
  </si>
  <si>
    <t xml:space="preserve">Target Achievement %</t>
  </si>
  <si>
    <t xml:space="preserve">Quarterly</t>
  </si>
  <si>
    <t xml:space="preserve">Achieve &gt;= 98.5% during Q4 peak season</t>
  </si>
  <si>
    <t xml:space="preserve">REC 05</t>
  </si>
  <si>
    <t xml:space="preserve">Operating cost growth (+18.89%) outstripping output growth (+9.81%)</t>
  </si>
  <si>
    <t xml:space="preserve">Enforce strict managerial pre-approval for overtime (&gt; 5 hrs/week per FTE) and tie overtime authorization to verified SLA backlogs.</t>
  </si>
  <si>
    <t xml:space="preserve">All Departments / HR</t>
  </si>
  <si>
    <t xml:space="preserve">Brakes runaway operational expenditure and restores cost predictability.</t>
  </si>
  <si>
    <t xml:space="preserve">Monthly Operating Cost</t>
  </si>
  <si>
    <t xml:space="preserve">Contain MoM cost growth within +/- 2.5% of output</t>
  </si>
  <si>
    <t xml:space="preserve">REC 06</t>
  </si>
  <si>
    <t xml:space="preserve">Manual processing friction in Order Processing</t>
  </si>
  <si>
    <t xml:space="preserve">Implement RPA bot connectors for standard ERP order ingestion and automated validation against client contracts.</t>
  </si>
  <si>
    <t xml:space="preserve">Order Processing &amp; IT</t>
  </si>
  <si>
    <t xml:space="preserve">Increases throughput speed, reduces human data entry errors to zero.</t>
  </si>
  <si>
    <t xml:space="preserve">Output per FTE-Day</t>
  </si>
  <si>
    <t xml:space="preserve">Increase throughput from 1.05 to 1.30 units/FTE-day</t>
  </si>
  <si>
    <t xml:space="preserve">REC 07</t>
  </si>
  <si>
    <t xml:space="preserve">Q3 summer productivity slump and system rollout disruption</t>
  </si>
  <si>
    <t xml:space="preserve">Establish an annual change-management policy requiring all major IT/system migrations to occur in isolated off-peak sandbox environments.</t>
  </si>
  <si>
    <t xml:space="preserve">IT &amp; Operations PMO</t>
  </si>
  <si>
    <t xml:space="preserve">Eliminates operational downtime and mid-year backlog accumulation.</t>
  </si>
  <si>
    <t xml:space="preserve">August Target Achievement</t>
  </si>
  <si>
    <t xml:space="preserve">Annual / Q3</t>
  </si>
  <si>
    <t xml:space="preserve">Maintain &gt;= 97.0% achievement across Q3</t>
  </si>
  <si>
    <t xml:space="preserve">REC 08</t>
  </si>
  <si>
    <t xml:space="preserve">Wide productivity disparity between departments (0.64 vs 1.51)</t>
  </si>
  <si>
    <t xml:space="preserve">Conduct time-and-motion studies across all roles; introduce standard cycle-time benchmarks and tier-based incentive rewards.</t>
  </si>
  <si>
    <t xml:space="preserve">Operations Leadership</t>
  </si>
  <si>
    <t xml:space="preserve">Aligns workforce incentives, promotes equitable work sharing across units.</t>
  </si>
  <si>
    <t xml:space="preserve">FTE Utilization Index</t>
  </si>
  <si>
    <t xml:space="preserve">Normalize departmental output variance within 20%</t>
  </si>
  <si>
    <t xml:space="preserve">REC 09</t>
  </si>
  <si>
    <t xml:space="preserve">Scaling best practices from Quality Assurance</t>
  </si>
  <si>
    <t xml:space="preserve">Document QA team's checklist methodology, standard templates, and root-cause logging; create an Operations Center of Excellence (CoE).</t>
  </si>
  <si>
    <t xml:space="preserve">Quality Assurance CoE</t>
  </si>
  <si>
    <t xml:space="preserve">Low</t>
  </si>
  <si>
    <t xml:space="preserve">Propagates proven high-reliability operating models company-wide.</t>
  </si>
  <si>
    <t xml:space="preserve">Company Overall Delay Rate</t>
  </si>
  <si>
    <t xml:space="preserve">Achieve company-wide delay rate &lt; 5.00%</t>
  </si>
  <si>
    <t xml:space="preserve">REC 10</t>
  </si>
  <si>
    <t xml:space="preserve">Lack of real-time operational visibility for frontline managers</t>
  </si>
  <si>
    <t xml:space="preserve">Transition monthly retrospective Excel reporting into daily/weekly automated Power BI operational pulse dashboards.</t>
  </si>
  <si>
    <t xml:space="preserve">BI &amp; Analytics Team</t>
  </si>
  <si>
    <t xml:space="preserve">Enables proactive intra-month interventions before targets are missed.</t>
  </si>
  <si>
    <t xml:space="preserve">Intra-Month Variance</t>
  </si>
  <si>
    <t xml:space="preserve">Weekly</t>
  </si>
  <si>
    <t xml:space="preserve">Zero surprise month-end target shortfalls</t>
  </si>
</sst>
</file>

<file path=xl/styles.xml><?xml version="1.0" encoding="utf-8"?>
<styleSheet xmlns="http://schemas.openxmlformats.org/spreadsheetml/2006/main">
  <numFmts count="9">
    <numFmt numFmtId="164" formatCode="General"/>
    <numFmt numFmtId="165" formatCode="#,##0"/>
    <numFmt numFmtId="166" formatCode="\₹#,##0"/>
    <numFmt numFmtId="167" formatCode="0.00%"/>
    <numFmt numFmtId="168" formatCode="\₹#,##0.00"/>
    <numFmt numFmtId="169" formatCode="0&quot; Months&quot;"/>
    <numFmt numFmtId="170" formatCode="0.0"/>
    <numFmt numFmtId="171" formatCode="0.00"/>
    <numFmt numFmtId="172" formatCode="0.0%"/>
  </numFmts>
  <fonts count="15">
    <font>
      <sz val="11"/>
      <color theme="1"/>
      <name val="Calibri"/>
      <family val="2"/>
      <charset val="1"/>
    </font>
    <font>
      <sz val="10"/>
      <name val="Arial"/>
      <family val="0"/>
    </font>
    <font>
      <sz val="10"/>
      <name val="Arial"/>
      <family val="0"/>
    </font>
    <font>
      <sz val="10"/>
      <name val="Arial"/>
      <family val="0"/>
    </font>
    <font>
      <b val="true"/>
      <sz val="16"/>
      <color rgb="FFFFFFFF"/>
      <name val="Calibri"/>
      <family val="0"/>
      <charset val="1"/>
    </font>
    <font>
      <b val="true"/>
      <sz val="11"/>
      <name val="Calibri"/>
      <family val="0"/>
      <charset val="1"/>
    </font>
    <font>
      <sz val="11"/>
      <name val="Calibri"/>
      <family val="0"/>
      <charset val="1"/>
    </font>
    <font>
      <b val="true"/>
      <sz val="11"/>
      <color rgb="FFFFFFFF"/>
      <name val="Calibri"/>
      <family val="0"/>
      <charset val="1"/>
    </font>
    <font>
      <b val="true"/>
      <sz val="13"/>
      <color rgb="FF1B365D"/>
      <name val="Calibri"/>
      <family val="0"/>
      <charset val="1"/>
    </font>
    <font>
      <i val="true"/>
      <sz val="10"/>
      <color rgb="FF555555"/>
      <name val="Calibri"/>
      <family val="0"/>
      <charset val="1"/>
    </font>
    <font>
      <b val="true"/>
      <sz val="9"/>
      <color rgb="FF555555"/>
      <name val="Calibri"/>
      <family val="0"/>
      <charset val="1"/>
    </font>
    <font>
      <b val="true"/>
      <sz val="15"/>
      <color rgb="FF1B365D"/>
      <name val="Calibri"/>
      <family val="0"/>
      <charset val="1"/>
    </font>
    <font>
      <b val="true"/>
      <sz val="18"/>
      <color rgb="FF000000"/>
      <name val="Calibri"/>
      <family val="2"/>
    </font>
    <font>
      <sz val="10"/>
      <color rgb="FF000000"/>
      <name val="Calibri"/>
      <family val="2"/>
    </font>
    <font>
      <b val="true"/>
      <sz val="10"/>
      <color rgb="FF000000"/>
      <name val="Calibri"/>
      <family val="2"/>
    </font>
  </fonts>
  <fills count="10">
    <fill>
      <patternFill patternType="none"/>
    </fill>
    <fill>
      <patternFill patternType="gray125"/>
    </fill>
    <fill>
      <patternFill patternType="solid">
        <fgColor rgb="FF1B365D"/>
        <bgColor rgb="FF2E5B88"/>
      </patternFill>
    </fill>
    <fill>
      <patternFill patternType="solid">
        <fgColor rgb="FFE9ECEF"/>
        <bgColor rgb="FFEBF3FA"/>
      </patternFill>
    </fill>
    <fill>
      <patternFill patternType="solid">
        <fgColor rgb="FFF4F7FA"/>
        <bgColor rgb="FFEBF3FA"/>
      </patternFill>
    </fill>
    <fill>
      <patternFill patternType="solid">
        <fgColor rgb="FF2E5B88"/>
        <bgColor rgb="FF555555"/>
      </patternFill>
    </fill>
    <fill>
      <patternFill patternType="solid">
        <fgColor rgb="FFFCF3CF"/>
        <bgColor rgb="FFF4F7FA"/>
      </patternFill>
    </fill>
    <fill>
      <patternFill patternType="solid">
        <fgColor rgb="FFFADBD8"/>
        <bgColor rgb="FFE9ECEF"/>
      </patternFill>
    </fill>
    <fill>
      <patternFill patternType="solid">
        <fgColor rgb="FFD4EFDF"/>
        <bgColor rgb="FFE9ECEF"/>
      </patternFill>
    </fill>
    <fill>
      <patternFill patternType="solid">
        <fgColor rgb="FFEBF3FA"/>
        <bgColor rgb="FFF4F7FA"/>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5" fontId="6" fillId="0" borderId="1" xfId="0" applyFont="true" applyBorder="true" applyAlignment="true" applyProtection="false">
      <alignment horizontal="right" vertical="bottom" textRotation="0" wrapText="false" indent="0" shrinkToFit="false"/>
      <protection locked="true" hidden="false"/>
    </xf>
    <xf numFmtId="166" fontId="6" fillId="0" borderId="1" xfId="0" applyFont="true" applyBorder="true" applyAlignment="true" applyProtection="false">
      <alignment horizontal="right" vertical="bottom" textRotation="0" wrapText="false" indent="0" shrinkToFit="false"/>
      <protection locked="true" hidden="false"/>
    </xf>
    <xf numFmtId="164" fontId="6" fillId="4" borderId="1" xfId="0" applyFont="true" applyBorder="true" applyAlignment="true" applyProtection="false">
      <alignment horizontal="center" vertical="bottom" textRotation="0" wrapText="false" indent="0" shrinkToFit="false"/>
      <protection locked="true" hidden="false"/>
    </xf>
    <xf numFmtId="165" fontId="6" fillId="4" borderId="1" xfId="0" applyFont="true" applyBorder="true" applyAlignment="true" applyProtection="false">
      <alignment horizontal="right" vertical="bottom" textRotation="0" wrapText="false" indent="0" shrinkToFit="false"/>
      <protection locked="true" hidden="false"/>
    </xf>
    <xf numFmtId="166" fontId="6" fillId="4" borderId="1" xfId="0" applyFont="true" applyBorder="true" applyAlignment="true" applyProtection="false">
      <alignment horizontal="right" vertical="bottom"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true" applyProtection="false">
      <alignment horizontal="right"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right"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true" applyProtection="false">
      <alignment horizontal="right" vertical="bottom" textRotation="0" wrapText="false" indent="0" shrinkToFit="false"/>
      <protection locked="true" hidden="false"/>
    </xf>
    <xf numFmtId="166" fontId="5" fillId="0" borderId="1" xfId="0" applyFont="true" applyBorder="true" applyAlignment="true" applyProtection="false">
      <alignment horizontal="right" vertical="bottom" textRotation="0" wrapText="false" indent="0" shrinkToFit="false"/>
      <protection locked="true" hidden="false"/>
    </xf>
    <xf numFmtId="168" fontId="5" fillId="0" borderId="1" xfId="0" applyFont="true" applyBorder="true" applyAlignment="true" applyProtection="false">
      <alignment horizontal="right" vertical="bottom" textRotation="0" wrapText="false" indent="0" shrinkToFit="false"/>
      <protection locked="true" hidden="false"/>
    </xf>
    <xf numFmtId="169" fontId="5" fillId="0" borderId="1" xfId="0" applyFont="true" applyBorder="true" applyAlignment="true" applyProtection="false">
      <alignment horizontal="righ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5" fontId="6" fillId="4" borderId="1" xfId="0" applyFont="true" applyBorder="true" applyAlignment="false" applyProtection="false">
      <alignment horizontal="general" vertical="bottom" textRotation="0" wrapText="false" indent="0" shrinkToFit="false"/>
      <protection locked="true" hidden="false"/>
    </xf>
    <xf numFmtId="167" fontId="6" fillId="4" borderId="1" xfId="0" applyFont="true" applyBorder="true" applyAlignment="false" applyProtection="false">
      <alignment horizontal="general" vertical="bottom" textRotation="0" wrapText="false" indent="0" shrinkToFit="false"/>
      <protection locked="true" hidden="false"/>
    </xf>
    <xf numFmtId="166" fontId="6" fillId="4" borderId="1" xfId="0" applyFont="true" applyBorder="true" applyAlignment="false" applyProtection="false">
      <alignment horizontal="general" vertical="bottom" textRotation="0" wrapText="false" indent="0" shrinkToFit="false"/>
      <protection locked="true" hidden="false"/>
    </xf>
    <xf numFmtId="168" fontId="6" fillId="4"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64" fontId="0" fillId="6" borderId="1" xfId="0" applyFont="true" applyBorder="true" applyAlignment="true" applyProtection="false">
      <alignment horizontal="center" vertical="bottom" textRotation="0" wrapText="false" indent="0" shrinkToFit="false"/>
      <protection locked="true" hidden="false"/>
    </xf>
    <xf numFmtId="165" fontId="0" fillId="4" borderId="1" xfId="0" applyFont="false" applyBorder="true" applyAlignment="false" applyProtection="false">
      <alignment horizontal="general" vertical="bottom" textRotation="0" wrapText="false" indent="0" shrinkToFit="false"/>
      <protection locked="true" hidden="false"/>
    </xf>
    <xf numFmtId="167" fontId="0" fillId="4" borderId="1" xfId="0" applyFont="false" applyBorder="true" applyAlignment="false" applyProtection="false">
      <alignment horizontal="general" vertical="bottom" textRotation="0" wrapText="false" indent="0" shrinkToFit="false"/>
      <protection locked="true" hidden="false"/>
    </xf>
    <xf numFmtId="166" fontId="0" fillId="4" borderId="1" xfId="0" applyFont="false" applyBorder="true" applyAlignment="false" applyProtection="false">
      <alignment horizontal="general" vertical="bottom" textRotation="0" wrapText="false" indent="0" shrinkToFit="false"/>
      <protection locked="true" hidden="false"/>
    </xf>
    <xf numFmtId="168" fontId="0" fillId="4" borderId="1" xfId="0" applyFont="false" applyBorder="true" applyAlignment="false" applyProtection="false">
      <alignment horizontal="general" vertical="bottom" textRotation="0" wrapText="false" indent="0" shrinkToFit="false"/>
      <protection locked="true" hidden="false"/>
    </xf>
    <xf numFmtId="170" fontId="0" fillId="4" borderId="1" xfId="0" applyFont="false" applyBorder="true" applyAlignment="false" applyProtection="false">
      <alignment horizontal="general" vertical="bottom" textRotation="0" wrapText="false" indent="0" shrinkToFit="false"/>
      <protection locked="true" hidden="false"/>
    </xf>
    <xf numFmtId="171" fontId="0" fillId="4" borderId="1" xfId="0" applyFont="false" applyBorder="true" applyAlignment="false" applyProtection="false">
      <alignment horizontal="general" vertical="bottom" textRotation="0" wrapText="false" indent="0" shrinkToFit="false"/>
      <protection locked="true" hidden="false"/>
    </xf>
    <xf numFmtId="164" fontId="0" fillId="7" borderId="1" xfId="0" applyFont="true" applyBorder="true" applyAlignment="true" applyProtection="false">
      <alignment horizontal="center" vertical="bottom" textRotation="0" wrapText="false" indent="0" shrinkToFit="false"/>
      <protection locked="true" hidden="false"/>
    </xf>
    <xf numFmtId="164" fontId="0" fillId="8"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10" fillId="9" borderId="1" xfId="0" applyFont="true" applyBorder="true" applyAlignment="true" applyProtection="false">
      <alignment horizontal="center" vertical="center" textRotation="0" wrapText="false" indent="0" shrinkToFit="false"/>
      <protection locked="true" hidden="false"/>
    </xf>
    <xf numFmtId="165" fontId="11" fillId="9" borderId="1" xfId="0" applyFont="true" applyBorder="true" applyAlignment="true" applyProtection="false">
      <alignment horizontal="center" vertical="center" textRotation="0" wrapText="false" indent="0" shrinkToFit="false"/>
      <protection locked="true" hidden="false"/>
    </xf>
    <xf numFmtId="172" fontId="11" fillId="9" borderId="1" xfId="0" applyFont="true" applyBorder="true" applyAlignment="true" applyProtection="false">
      <alignment horizontal="center" vertical="center" textRotation="0" wrapText="false" indent="0" shrinkToFit="false"/>
      <protection locked="true" hidden="false"/>
    </xf>
    <xf numFmtId="166" fontId="11" fillId="9" borderId="1" xfId="0" applyFont="true" applyBorder="true" applyAlignment="true" applyProtection="false">
      <alignment horizontal="center" vertical="center" textRotation="0" wrapText="false" indent="0" shrinkToFit="false"/>
      <protection locked="true" hidden="false"/>
    </xf>
    <xf numFmtId="168" fontId="11" fillId="9" borderId="1" xfId="0" applyFont="true" applyBorder="true" applyAlignment="true" applyProtection="false">
      <alignment horizontal="center" vertical="center" textRotation="0" wrapText="fals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B365D"/>
          <bgColor rgb="FF000000"/>
        </patternFill>
      </fill>
    </dxf>
    <dxf>
      <fill>
        <patternFill patternType="solid">
          <fgColor rgb="FFF4F7FA"/>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78787"/>
      <rgbColor rgb="FF9999FF"/>
      <rgbColor rgb="FFC0504D"/>
      <rgbColor rgb="FFFCF3CF"/>
      <rgbColor rgb="FFEBF3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9ECEF"/>
      <rgbColor rgb="FFD4EFDF"/>
      <rgbColor rgb="FFF4F7FA"/>
      <rgbColor rgb="FF99CCFF"/>
      <rgbColor rgb="FFFF99CC"/>
      <rgbColor rgb="FFCC99FF"/>
      <rgbColor rgb="FFFADBD8"/>
      <rgbColor rgb="FF4F81BD"/>
      <rgbColor rgb="FF33CCCC"/>
      <rgbColor rgb="FF99CC00"/>
      <rgbColor rgb="FFFFCC00"/>
      <rgbColor rgb="FFFF9900"/>
      <rgbColor rgb="FFFF6600"/>
      <rgbColor rgb="FF4A7EBB"/>
      <rgbColor rgb="FF969696"/>
      <rgbColor rgb="FF1B365D"/>
      <rgbColor rgb="FF339966"/>
      <rgbColor rgb="FF003300"/>
      <rgbColor rgb="FF333300"/>
      <rgbColor rgb="FF993300"/>
      <rgbColor rgb="FF993366"/>
      <rgbColor rgb="FF2E5B88"/>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Monthly Target vs. Actual Units</a:t>
            </a:r>
          </a:p>
        </c:rich>
      </c:tx>
      <c:overlay val="0"/>
      <c:spPr>
        <a:noFill/>
        <a:ln w="0">
          <a:noFill/>
        </a:ln>
      </c:spPr>
    </c:title>
    <c:autoTitleDeleted val="0"/>
    <c:plotArea>
      <c:barChart>
        <c:barDir val="col"/>
        <c:grouping val="clustered"/>
        <c:varyColors val="0"/>
        <c:ser>
          <c:idx val="0"/>
          <c:order val="0"/>
          <c:tx>
            <c:strRef>
              <c:f>'KPI ANALYSIS'!C20</c:f>
              <c:strCache>
                <c:ptCount val="1"/>
                <c:pt idx="0">
                  <c:v>Target Units</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'KPI ANALYSIS'!$B$21:$B$32</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'KPI ANALYSIS'!$C$21:$C$32</c:f>
              <c:numCache>
                <c:formatCode>#,##0</c:formatCode>
                <c:ptCount val="12"/>
                <c:pt idx="0">
                  <c:v>5848</c:v>
                </c:pt>
                <c:pt idx="1">
                  <c:v>6053</c:v>
                </c:pt>
                <c:pt idx="2">
                  <c:v>6430</c:v>
                </c:pt>
                <c:pt idx="3">
                  <c:v>6555</c:v>
                </c:pt>
                <c:pt idx="4">
                  <c:v>6611</c:v>
                </c:pt>
                <c:pt idx="5">
                  <c:v>6662</c:v>
                </c:pt>
                <c:pt idx="6">
                  <c:v>6685</c:v>
                </c:pt>
                <c:pt idx="7">
                  <c:v>6598</c:v>
                </c:pt>
                <c:pt idx="8">
                  <c:v>6453</c:v>
                </c:pt>
                <c:pt idx="9">
                  <c:v>6949</c:v>
                </c:pt>
                <c:pt idx="10">
                  <c:v>6638</c:v>
                </c:pt>
                <c:pt idx="11">
                  <c:v>5852</c:v>
                </c:pt>
              </c:numCache>
            </c:numRef>
          </c:val>
        </c:ser>
        <c:ser>
          <c:idx val="1"/>
          <c:order val="1"/>
          <c:tx>
            <c:strRef>
              <c:f>'KPI ANALYSIS'!D20</c:f>
              <c:strCache>
                <c:ptCount val="1"/>
                <c:pt idx="0">
                  <c:v>Actual Units</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'KPI ANALYSIS'!$B$21:$B$32</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'KPI ANALYSIS'!$D$21:$D$32</c:f>
              <c:numCache>
                <c:formatCode>#,##0</c:formatCode>
                <c:ptCount val="12"/>
                <c:pt idx="0">
                  <c:v>5608</c:v>
                </c:pt>
                <c:pt idx="1">
                  <c:v>5882</c:v>
                </c:pt>
                <c:pt idx="2">
                  <c:v>6300</c:v>
                </c:pt>
                <c:pt idx="3">
                  <c:v>6262</c:v>
                </c:pt>
                <c:pt idx="4">
                  <c:v>6384</c:v>
                </c:pt>
                <c:pt idx="5">
                  <c:v>6440</c:v>
                </c:pt>
                <c:pt idx="6">
                  <c:v>6362</c:v>
                </c:pt>
                <c:pt idx="7">
                  <c:v>6275</c:v>
                </c:pt>
                <c:pt idx="8">
                  <c:v>6108</c:v>
                </c:pt>
                <c:pt idx="9">
                  <c:v>6626</c:v>
                </c:pt>
                <c:pt idx="10">
                  <c:v>6341</c:v>
                </c:pt>
                <c:pt idx="11">
                  <c:v>5576</c:v>
                </c:pt>
              </c:numCache>
            </c:numRef>
          </c:val>
        </c:ser>
        <c:gapWidth val="150"/>
        <c:overlap val="0"/>
        <c:axId val="68562096"/>
        <c:axId val="81456405"/>
      </c:barChart>
      <c:catAx>
        <c:axId val="68562096"/>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81456405"/>
        <c:crosses val="autoZero"/>
        <c:auto val="1"/>
        <c:lblAlgn val="ctr"/>
        <c:lblOffset val="100"/>
        <c:noMultiLvlLbl val="0"/>
      </c:catAx>
      <c:valAx>
        <c:axId val="81456405"/>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Units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68562096"/>
        <c:crosses val="autoZero"/>
        <c:crossBetween val="between"/>
      </c:valAx>
      <c:spPr>
        <a:no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Target Achievement % by Department</a:t>
            </a:r>
          </a:p>
        </c:rich>
      </c:tx>
      <c:overlay val="0"/>
      <c:spPr>
        <a:noFill/>
        <a:ln w="0">
          <a:noFill/>
        </a:ln>
      </c:spPr>
    </c:title>
    <c:autoTitleDeleted val="0"/>
    <c:plotArea>
      <c:barChart>
        <c:barDir val="col"/>
        <c:grouping val="clustered"/>
        <c:varyColors val="0"/>
        <c:ser>
          <c:idx val="0"/>
          <c:order val="0"/>
          <c:tx>
            <c:strRef>
              <c:f>'KPI ANALYSIS'!E37</c:f>
              <c:strCache>
                <c:ptCount val="1"/>
                <c:pt idx="0">
                  <c:v>Achievement %</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'KPI ANALYSIS'!$B$38:$B$41</c:f>
              <c:strCache>
                <c:ptCount val="4"/>
                <c:pt idx="0">
                  <c:v>Customer Operations</c:v>
                </c:pt>
                <c:pt idx="1">
                  <c:v>Order Processing</c:v>
                </c:pt>
                <c:pt idx="2">
                  <c:v>Service Delivery</c:v>
                </c:pt>
                <c:pt idx="3">
                  <c:v>Quality Assurance</c:v>
                </c:pt>
              </c:strCache>
            </c:strRef>
          </c:cat>
          <c:val>
            <c:numRef>
              <c:f>'KPI ANALYSIS'!$E$38:$E$41</c:f>
              <c:numCache>
                <c:formatCode>0.00%</c:formatCode>
                <c:ptCount val="4"/>
                <c:pt idx="0">
                  <c:v>0.951139051412922</c:v>
                </c:pt>
                <c:pt idx="1">
                  <c:v>0.96683469494177</c:v>
                </c:pt>
                <c:pt idx="2">
                  <c:v>0.941525152194809</c:v>
                </c:pt>
                <c:pt idx="3">
                  <c:v>0.964983265897398</c:v>
                </c:pt>
              </c:numCache>
            </c:numRef>
          </c:val>
        </c:ser>
        <c:gapWidth val="150"/>
        <c:overlap val="0"/>
        <c:axId val="98773315"/>
        <c:axId val="95736786"/>
      </c:barChart>
      <c:catAx>
        <c:axId val="98773315"/>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Department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5736786"/>
        <c:crosses val="autoZero"/>
        <c:auto val="1"/>
        <c:lblAlgn val="ctr"/>
        <c:lblOffset val="100"/>
        <c:noMultiLvlLbl val="0"/>
      </c:catAx>
      <c:valAx>
        <c:axId val="95736786"/>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Achievement Rate</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877331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Monthly Operating Cost Trend (INR)</a:t>
            </a:r>
          </a:p>
        </c:rich>
      </c:tx>
      <c:overlay val="0"/>
      <c:spPr>
        <a:noFill/>
        <a:ln w="0">
          <a:noFill/>
        </a:ln>
      </c:spPr>
    </c:title>
    <c:autoTitleDeleted val="0"/>
    <c:plotArea>
      <c:lineChart>
        <c:grouping val="standard"/>
        <c:varyColors val="0"/>
        <c:ser>
          <c:idx val="0"/>
          <c:order val="0"/>
          <c:tx>
            <c:strRef>
              <c:f>'KPI ANALYSIS'!H20</c:f>
              <c:strCache>
                <c:ptCount val="1"/>
                <c:pt idx="0">
                  <c:v>Operating Cost (INR)</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'KPI ANALYSIS'!$B$21:$B$32</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'KPI ANALYSIS'!$H$21:$H$32</c:f>
              <c:numCache>
                <c:formatCode>\₹#,##0</c:formatCode>
                <c:ptCount val="12"/>
                <c:pt idx="0">
                  <c:v>1193214</c:v>
                </c:pt>
                <c:pt idx="1">
                  <c:v>1204827</c:v>
                </c:pt>
                <c:pt idx="2">
                  <c:v>1239126</c:v>
                </c:pt>
                <c:pt idx="3">
                  <c:v>1257472</c:v>
                </c:pt>
                <c:pt idx="4">
                  <c:v>1277226</c:v>
                </c:pt>
                <c:pt idx="5">
                  <c:v>1306680</c:v>
                </c:pt>
                <c:pt idx="6">
                  <c:v>1329870</c:v>
                </c:pt>
                <c:pt idx="7">
                  <c:v>1353859</c:v>
                </c:pt>
                <c:pt idx="8">
                  <c:v>1382500</c:v>
                </c:pt>
                <c:pt idx="9">
                  <c:v>1390287</c:v>
                </c:pt>
                <c:pt idx="10">
                  <c:v>1414055</c:v>
                </c:pt>
                <c:pt idx="11">
                  <c:v>1440060</c:v>
                </c:pt>
              </c:numCache>
            </c:numRef>
          </c:val>
          <c:smooth val="1"/>
        </c:ser>
        <c:hiLowLines>
          <c:spPr>
            <a:ln w="0">
              <a:noFill/>
            </a:ln>
          </c:spPr>
        </c:hiLowLines>
        <c:marker val="0"/>
        <c:axId val="92988456"/>
        <c:axId val="88158277"/>
      </c:lineChart>
      <c:catAx>
        <c:axId val="92988456"/>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88158277"/>
        <c:crosses val="autoZero"/>
        <c:auto val="1"/>
        <c:lblAlgn val="ctr"/>
        <c:lblOffset val="100"/>
        <c:noMultiLvlLbl val="0"/>
      </c:catAx>
      <c:valAx>
        <c:axId val="88158277"/>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Operating Cost (INR)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298845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Monthly Customer Complaints Escalation</a:t>
            </a:r>
          </a:p>
        </c:rich>
      </c:tx>
      <c:overlay val="0"/>
      <c:spPr>
        <a:noFill/>
        <a:ln w="0">
          <a:noFill/>
        </a:ln>
      </c:spPr>
    </c:title>
    <c:autoTitleDeleted val="0"/>
    <c:plotArea>
      <c:lineChart>
        <c:grouping val="standard"/>
        <c:varyColors val="0"/>
        <c:ser>
          <c:idx val="0"/>
          <c:order val="0"/>
          <c:tx>
            <c:strRef>
              <c:f>'KPI ANALYSIS'!J20</c:f>
              <c:strCache>
                <c:ptCount val="1"/>
                <c:pt idx="0">
                  <c:v>Customer Complaints</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'KPI ANALYSIS'!$B$21:$B$32</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'KPI ANALYSIS'!$J$21:$J$32</c:f>
              <c:numCache>
                <c:formatCode>#,##0</c:formatCode>
                <c:ptCount val="12"/>
                <c:pt idx="0">
                  <c:v>139</c:v>
                </c:pt>
                <c:pt idx="1">
                  <c:v>157</c:v>
                </c:pt>
                <c:pt idx="2">
                  <c:v>178</c:v>
                </c:pt>
                <c:pt idx="3">
                  <c:v>166</c:v>
                </c:pt>
                <c:pt idx="4">
                  <c:v>161</c:v>
                </c:pt>
                <c:pt idx="5">
                  <c:v>156</c:v>
                </c:pt>
                <c:pt idx="6">
                  <c:v>173</c:v>
                </c:pt>
                <c:pt idx="7">
                  <c:v>154</c:v>
                </c:pt>
                <c:pt idx="8">
                  <c:v>171</c:v>
                </c:pt>
                <c:pt idx="9">
                  <c:v>203</c:v>
                </c:pt>
                <c:pt idx="10">
                  <c:v>166</c:v>
                </c:pt>
                <c:pt idx="11">
                  <c:v>150</c:v>
                </c:pt>
              </c:numCache>
            </c:numRef>
          </c:val>
          <c:smooth val="1"/>
        </c:ser>
        <c:hiLowLines>
          <c:spPr>
            <a:ln w="0">
              <a:noFill/>
            </a:ln>
          </c:spPr>
        </c:hiLowLines>
        <c:marker val="0"/>
        <c:axId val="13130377"/>
        <c:axId val="21628284"/>
      </c:lineChart>
      <c:catAx>
        <c:axId val="13130377"/>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1628284"/>
        <c:crosses val="autoZero"/>
        <c:auto val="1"/>
        <c:lblAlgn val="ctr"/>
        <c:lblOffset val="100"/>
        <c:noMultiLvlLbl val="0"/>
      </c:catAx>
      <c:valAx>
        <c:axId val="21628284"/>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Complaints Count</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313037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Delayed Tasks by Department</a:t>
            </a:r>
          </a:p>
        </c:rich>
      </c:tx>
      <c:overlay val="0"/>
      <c:spPr>
        <a:noFill/>
        <a:ln w="0">
          <a:noFill/>
        </a:ln>
      </c:spPr>
    </c:title>
    <c:autoTitleDeleted val="0"/>
    <c:plotArea>
      <c:barChart>
        <c:barDir val="bar"/>
        <c:grouping val="clustered"/>
        <c:varyColors val="0"/>
        <c:ser>
          <c:idx val="0"/>
          <c:order val="0"/>
          <c:tx>
            <c:strRef>
              <c:f>'KPI ANALYSIS'!F37</c:f>
              <c:strCache>
                <c:ptCount val="1"/>
                <c:pt idx="0">
                  <c:v>Delayed Tasks</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'KPI ANALYSIS'!$B$38:$B$41</c:f>
              <c:strCache>
                <c:ptCount val="4"/>
                <c:pt idx="0">
                  <c:v>Customer Operations</c:v>
                </c:pt>
                <c:pt idx="1">
                  <c:v>Order Processing</c:v>
                </c:pt>
                <c:pt idx="2">
                  <c:v>Service Delivery</c:v>
                </c:pt>
                <c:pt idx="3">
                  <c:v>Quality Assurance</c:v>
                </c:pt>
              </c:strCache>
            </c:strRef>
          </c:cat>
          <c:val>
            <c:numRef>
              <c:f>'KPI ANALYSIS'!$F$38:$F$41</c:f>
              <c:numCache>
                <c:formatCode>#,##0</c:formatCode>
                <c:ptCount val="4"/>
                <c:pt idx="0">
                  <c:v>1200</c:v>
                </c:pt>
                <c:pt idx="1">
                  <c:v>1404</c:v>
                </c:pt>
                <c:pt idx="2">
                  <c:v>1844</c:v>
                </c:pt>
                <c:pt idx="3">
                  <c:v>759</c:v>
                </c:pt>
              </c:numCache>
            </c:numRef>
          </c:val>
        </c:ser>
        <c:gapWidth val="150"/>
        <c:overlap val="0"/>
        <c:axId val="76854160"/>
        <c:axId val="40996001"/>
      </c:barChart>
      <c:catAx>
        <c:axId val="76854160"/>
        <c:scaling>
          <c:orientation val="minMax"/>
        </c:scaling>
        <c:delete val="0"/>
        <c:axPos val="b"/>
        <c:title>
          <c:tx>
            <c:rich>
              <a:bodyPr rot="-5400000"/>
              <a:lstStyle/>
              <a:p>
                <a:pPr>
                  <a:defRPr b="0" sz="1300" strike="noStrike" u="none">
                    <a:uFillTx/>
                    <a:latin typeface="Arial"/>
                  </a:defRPr>
                </a:pPr>
                <a:r>
                  <a:rPr b="1" sz="1000" strike="noStrike" u="none">
                    <a:solidFill>
                      <a:srgbClr val="000000"/>
                    </a:solidFill>
                    <a:uFillTx/>
                    <a:latin typeface="Calibri"/>
                  </a:rPr>
                  <a:t>Delayed Tasks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40996001"/>
        <c:crosses val="autoZero"/>
        <c:auto val="1"/>
        <c:lblAlgn val="ctr"/>
        <c:lblOffset val="100"/>
        <c:noMultiLvlLbl val="0"/>
      </c:catAx>
      <c:valAx>
        <c:axId val="40996001"/>
        <c:scaling>
          <c:orientation val="minMax"/>
        </c:scaling>
        <c:delete val="0"/>
        <c:axPos val="l"/>
        <c:majorGridlines>
          <c:spPr>
            <a:ln w="9360">
              <a:solidFill>
                <a:srgbClr val="878787"/>
              </a:solidFill>
              <a:round/>
            </a:ln>
          </c:spPr>
        </c:majorGridlines>
        <c:title>
          <c:tx>
            <c:rich>
              <a:bodyPr rot="0"/>
              <a:lstStyle/>
              <a:p>
                <a:pPr>
                  <a:defRPr b="0" sz="1300" strike="noStrike" u="none">
                    <a:uFillTx/>
                    <a:latin typeface="Arial"/>
                  </a:defRPr>
                </a:pPr>
                <a:r>
                  <a:rPr b="1" sz="1000" strike="noStrike" u="none">
                    <a:solidFill>
                      <a:srgbClr val="000000"/>
                    </a:solidFill>
                    <a:uFillTx/>
                    <a:latin typeface="Calibri"/>
                  </a:rPr>
                  <a:t>Department</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685416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Cost per Completed Unit by Department (INR)</a:t>
            </a:r>
          </a:p>
        </c:rich>
      </c:tx>
      <c:overlay val="0"/>
      <c:spPr>
        <a:noFill/>
        <a:ln w="0">
          <a:noFill/>
        </a:ln>
      </c:spPr>
    </c:title>
    <c:autoTitleDeleted val="0"/>
    <c:plotArea>
      <c:barChart>
        <c:barDir val="col"/>
        <c:grouping val="clustered"/>
        <c:varyColors val="0"/>
        <c:ser>
          <c:idx val="0"/>
          <c:order val="0"/>
          <c:tx>
            <c:strRef>
              <c:f>'KPI ANALYSIS'!I37</c:f>
              <c:strCache>
                <c:ptCount val="1"/>
                <c:pt idx="0">
                  <c:v>Cost / Unit (INR)</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'KPI ANALYSIS'!$B$38:$B$41</c:f>
              <c:strCache>
                <c:ptCount val="4"/>
                <c:pt idx="0">
                  <c:v>Customer Operations</c:v>
                </c:pt>
                <c:pt idx="1">
                  <c:v>Order Processing</c:v>
                </c:pt>
                <c:pt idx="2">
                  <c:v>Service Delivery</c:v>
                </c:pt>
                <c:pt idx="3">
                  <c:v>Quality Assurance</c:v>
                </c:pt>
              </c:strCache>
            </c:strRef>
          </c:cat>
          <c:val>
            <c:numRef>
              <c:f>'KPI ANALYSIS'!$I$38:$I$41</c:f>
              <c:numCache>
                <c:formatCode>\₹#,##0.00</c:formatCode>
                <c:ptCount val="4"/>
                <c:pt idx="0">
                  <c:v>245.94084156796</c:v>
                </c:pt>
                <c:pt idx="1">
                  <c:v>168.91125813527</c:v>
                </c:pt>
                <c:pt idx="2">
                  <c:v>385.454398502637</c:v>
                </c:pt>
                <c:pt idx="3">
                  <c:v>145.083963143183</c:v>
                </c:pt>
              </c:numCache>
            </c:numRef>
          </c:val>
        </c:ser>
        <c:gapWidth val="150"/>
        <c:overlap val="0"/>
        <c:axId val="58501676"/>
        <c:axId val="31260419"/>
      </c:barChart>
      <c:catAx>
        <c:axId val="58501676"/>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Department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31260419"/>
        <c:crosses val="autoZero"/>
        <c:auto val="1"/>
        <c:lblAlgn val="ctr"/>
        <c:lblOffset val="100"/>
        <c:noMultiLvlLbl val="0"/>
      </c:catAx>
      <c:valAx>
        <c:axId val="31260419"/>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Unit Cost (INR)</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850167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3.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9</xdr:row>
      <xdr:rowOff>0</xdr:rowOff>
    </xdr:from>
    <xdr:to>
      <xdr:col>7</xdr:col>
      <xdr:colOff>262080</xdr:colOff>
      <xdr:row>27</xdr:row>
      <xdr:rowOff>170640</xdr:rowOff>
    </xdr:to>
    <xdr:graphicFrame>
      <xdr:nvGraphicFramePr>
        <xdr:cNvPr id="0" name="Chart 1"/>
        <xdr:cNvGraphicFramePr/>
      </xdr:nvGraphicFramePr>
      <xdr:xfrm>
        <a:off x="611640" y="2219400"/>
        <a:ext cx="575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9</xdr:row>
      <xdr:rowOff>0</xdr:rowOff>
    </xdr:from>
    <xdr:to>
      <xdr:col>14</xdr:col>
      <xdr:colOff>262080</xdr:colOff>
      <xdr:row>27</xdr:row>
      <xdr:rowOff>170640</xdr:rowOff>
    </xdr:to>
    <xdr:graphicFrame>
      <xdr:nvGraphicFramePr>
        <xdr:cNvPr id="1" name="Chart 2"/>
        <xdr:cNvGraphicFramePr/>
      </xdr:nvGraphicFramePr>
      <xdr:xfrm>
        <a:off x="7025760" y="2219400"/>
        <a:ext cx="575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24</xdr:row>
      <xdr:rowOff>0</xdr:rowOff>
    </xdr:from>
    <xdr:to>
      <xdr:col>7</xdr:col>
      <xdr:colOff>262080</xdr:colOff>
      <xdr:row>42</xdr:row>
      <xdr:rowOff>170640</xdr:rowOff>
    </xdr:to>
    <xdr:graphicFrame>
      <xdr:nvGraphicFramePr>
        <xdr:cNvPr id="2" name="Chart 3"/>
        <xdr:cNvGraphicFramePr/>
      </xdr:nvGraphicFramePr>
      <xdr:xfrm>
        <a:off x="611640" y="5076720"/>
        <a:ext cx="5759640" cy="35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24</xdr:row>
      <xdr:rowOff>0</xdr:rowOff>
    </xdr:from>
    <xdr:to>
      <xdr:col>14</xdr:col>
      <xdr:colOff>262080</xdr:colOff>
      <xdr:row>42</xdr:row>
      <xdr:rowOff>170640</xdr:rowOff>
    </xdr:to>
    <xdr:graphicFrame>
      <xdr:nvGraphicFramePr>
        <xdr:cNvPr id="3" name="Chart 4"/>
        <xdr:cNvGraphicFramePr/>
      </xdr:nvGraphicFramePr>
      <xdr:xfrm>
        <a:off x="7025760" y="5076720"/>
        <a:ext cx="5759640" cy="35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39</xdr:row>
      <xdr:rowOff>0</xdr:rowOff>
    </xdr:from>
    <xdr:to>
      <xdr:col>7</xdr:col>
      <xdr:colOff>262080</xdr:colOff>
      <xdr:row>57</xdr:row>
      <xdr:rowOff>170640</xdr:rowOff>
    </xdr:to>
    <xdr:graphicFrame>
      <xdr:nvGraphicFramePr>
        <xdr:cNvPr id="4" name="Chart 5"/>
        <xdr:cNvGraphicFramePr/>
      </xdr:nvGraphicFramePr>
      <xdr:xfrm>
        <a:off x="611640" y="7934400"/>
        <a:ext cx="5759640" cy="359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0</xdr:colOff>
      <xdr:row>39</xdr:row>
      <xdr:rowOff>0</xdr:rowOff>
    </xdr:from>
    <xdr:to>
      <xdr:col>14</xdr:col>
      <xdr:colOff>262080</xdr:colOff>
      <xdr:row>57</xdr:row>
      <xdr:rowOff>170640</xdr:rowOff>
    </xdr:to>
    <xdr:graphicFrame>
      <xdr:nvGraphicFramePr>
        <xdr:cNvPr id="5" name="Chart 6"/>
        <xdr:cNvGraphicFramePr/>
      </xdr:nvGraphicFramePr>
      <xdr:xfrm>
        <a:off x="7025760" y="7934400"/>
        <a:ext cx="5759640" cy="359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28"/>
    <col collapsed="false" customWidth="true" hidden="false" outlineLevel="0" max="9" min="3" style="0" width="15"/>
  </cols>
  <sheetData>
    <row r="2" customFormat="false" ht="39.75" hidden="false" customHeight="true" outlineLevel="0" collapsed="false">
      <c r="B2" s="1" t="s">
        <v>0</v>
      </c>
      <c r="C2" s="1"/>
      <c r="D2" s="1"/>
      <c r="E2" s="1"/>
      <c r="F2" s="1"/>
      <c r="G2" s="1"/>
      <c r="H2" s="1"/>
      <c r="I2" s="1"/>
    </row>
    <row r="4" customFormat="false" ht="42" hidden="false" customHeight="true" outlineLevel="0" collapsed="false">
      <c r="B4" s="2" t="s">
        <v>1</v>
      </c>
      <c r="C4" s="3" t="s">
        <v>2</v>
      </c>
      <c r="D4" s="3"/>
      <c r="E4" s="3"/>
      <c r="F4" s="3"/>
      <c r="G4" s="3"/>
      <c r="H4" s="3"/>
      <c r="I4" s="3"/>
    </row>
    <row r="5" customFormat="false" ht="24" hidden="false" customHeight="true" outlineLevel="0" collapsed="false">
      <c r="B5" s="2" t="s">
        <v>3</v>
      </c>
      <c r="C5" s="3" t="s">
        <v>4</v>
      </c>
      <c r="D5" s="3"/>
      <c r="E5" s="3"/>
      <c r="F5" s="3"/>
      <c r="G5" s="3"/>
      <c r="H5" s="3"/>
      <c r="I5" s="3"/>
    </row>
    <row r="6" customFormat="false" ht="42" hidden="false" customHeight="true" outlineLevel="0" collapsed="false">
      <c r="B6" s="2" t="s">
        <v>5</v>
      </c>
      <c r="C6" s="3" t="s">
        <v>6</v>
      </c>
      <c r="D6" s="3"/>
      <c r="E6" s="3"/>
      <c r="F6" s="3"/>
      <c r="G6" s="3"/>
      <c r="H6" s="3"/>
      <c r="I6" s="3"/>
    </row>
    <row r="7" customFormat="false" ht="42" hidden="false" customHeight="true" outlineLevel="0" collapsed="false">
      <c r="B7" s="2" t="s">
        <v>7</v>
      </c>
      <c r="C7" s="3" t="s">
        <v>8</v>
      </c>
      <c r="D7" s="3"/>
      <c r="E7" s="3"/>
      <c r="F7" s="3"/>
      <c r="G7" s="3"/>
      <c r="H7" s="3"/>
      <c r="I7" s="3"/>
    </row>
    <row r="8" customFormat="false" ht="42" hidden="false" customHeight="true" outlineLevel="0" collapsed="false">
      <c r="B8" s="2" t="s">
        <v>9</v>
      </c>
      <c r="C8" s="3" t="s">
        <v>10</v>
      </c>
      <c r="D8" s="3"/>
      <c r="E8" s="3"/>
      <c r="F8" s="3"/>
      <c r="G8" s="3"/>
      <c r="H8" s="3"/>
      <c r="I8" s="3"/>
    </row>
    <row r="9" customFormat="false" ht="42" hidden="false" customHeight="true" outlineLevel="0" collapsed="false">
      <c r="B9" s="2" t="s">
        <v>11</v>
      </c>
      <c r="C9" s="3" t="s">
        <v>12</v>
      </c>
      <c r="D9" s="3"/>
      <c r="E9" s="3"/>
      <c r="F9" s="3"/>
      <c r="G9" s="3"/>
      <c r="H9" s="3"/>
      <c r="I9" s="3"/>
    </row>
    <row r="10" customFormat="false" ht="42" hidden="false" customHeight="true" outlineLevel="0" collapsed="false">
      <c r="B10" s="2" t="s">
        <v>13</v>
      </c>
      <c r="C10" s="3" t="s">
        <v>14</v>
      </c>
      <c r="D10" s="3"/>
      <c r="E10" s="3"/>
      <c r="F10" s="3"/>
      <c r="G10" s="3"/>
      <c r="H10" s="3"/>
      <c r="I10" s="3"/>
    </row>
    <row r="11" customFormat="false" ht="42" hidden="false" customHeight="true" outlineLevel="0" collapsed="false">
      <c r="B11" s="2" t="s">
        <v>15</v>
      </c>
      <c r="C11" s="3" t="s">
        <v>16</v>
      </c>
      <c r="D11" s="3"/>
      <c r="E11" s="3"/>
      <c r="F11" s="3"/>
      <c r="G11" s="3"/>
      <c r="H11" s="3"/>
      <c r="I11" s="3"/>
    </row>
  </sheetData>
  <mergeCells count="9">
    <mergeCell ref="B2:I2"/>
    <mergeCell ref="C4:I4"/>
    <mergeCell ref="C5:I5"/>
    <mergeCell ref="C6:I6"/>
    <mergeCell ref="C7:I7"/>
    <mergeCell ref="C8:I8"/>
    <mergeCell ref="C9:I9"/>
    <mergeCell ref="C10:I10"/>
    <mergeCell ref="C11:I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23"/>
    <col collapsed="false" customWidth="true" hidden="false" outlineLevel="0" max="4" min="4" style="0" width="18"/>
    <col collapsed="false" customWidth="true" hidden="false" outlineLevel="0" max="7" min="5" style="0" width="16"/>
    <col collapsed="false" customWidth="true" hidden="false" outlineLevel="0" max="8" min="8" style="0" width="17"/>
    <col collapsed="false" customWidth="true" hidden="false" outlineLevel="0" max="9" min="9" style="0" width="24"/>
    <col collapsed="false" customWidth="true" hidden="false" outlineLevel="0" max="10" min="10" style="0" width="23"/>
    <col collapsed="false" customWidth="true" hidden="false" outlineLevel="0" max="11" min="11" style="0" width="26"/>
  </cols>
  <sheetData>
    <row r="1" customFormat="false" ht="27.75" hidden="false" customHeight="true" outlineLevel="0" collapsed="false">
      <c r="A1" s="4" t="s">
        <v>17</v>
      </c>
      <c r="B1" s="4" t="s">
        <v>18</v>
      </c>
      <c r="C1" s="4" t="s">
        <v>19</v>
      </c>
      <c r="D1" s="4" t="s">
        <v>20</v>
      </c>
      <c r="E1" s="4" t="s">
        <v>21</v>
      </c>
      <c r="F1" s="4" t="s">
        <v>22</v>
      </c>
      <c r="G1" s="4" t="s">
        <v>23</v>
      </c>
      <c r="H1" s="4" t="s">
        <v>24</v>
      </c>
      <c r="I1" s="4" t="s">
        <v>25</v>
      </c>
      <c r="J1" s="4" t="s">
        <v>26</v>
      </c>
      <c r="K1" s="4" t="s">
        <v>27</v>
      </c>
    </row>
    <row r="2" customFormat="false" ht="15" hidden="false" customHeight="false" outlineLevel="0" collapsed="false">
      <c r="A2" s="5" t="s">
        <v>28</v>
      </c>
      <c r="B2" s="5" t="s">
        <v>29</v>
      </c>
      <c r="C2" s="5" t="s">
        <v>30</v>
      </c>
      <c r="D2" s="6" t="n">
        <v>17</v>
      </c>
      <c r="E2" s="6" t="n">
        <v>21</v>
      </c>
      <c r="F2" s="6" t="n">
        <v>253</v>
      </c>
      <c r="G2" s="6" t="n">
        <v>250</v>
      </c>
      <c r="H2" s="6" t="n">
        <v>21</v>
      </c>
      <c r="I2" s="7" t="n">
        <v>54966</v>
      </c>
      <c r="J2" s="6" t="n">
        <v>8</v>
      </c>
      <c r="K2" s="5" t="s">
        <v>31</v>
      </c>
    </row>
    <row r="3" customFormat="false" ht="15" hidden="false" customHeight="false" outlineLevel="0" collapsed="false">
      <c r="A3" s="8" t="s">
        <v>32</v>
      </c>
      <c r="B3" s="8" t="s">
        <v>29</v>
      </c>
      <c r="C3" s="8" t="s">
        <v>30</v>
      </c>
      <c r="D3" s="9" t="n">
        <v>16</v>
      </c>
      <c r="E3" s="9" t="n">
        <v>21</v>
      </c>
      <c r="F3" s="9" t="n">
        <v>235</v>
      </c>
      <c r="G3" s="9" t="n">
        <v>230</v>
      </c>
      <c r="H3" s="9" t="n">
        <v>20</v>
      </c>
      <c r="I3" s="10" t="n">
        <v>57697</v>
      </c>
      <c r="J3" s="9" t="n">
        <v>5</v>
      </c>
      <c r="K3" s="8" t="s">
        <v>31</v>
      </c>
    </row>
    <row r="4" customFormat="false" ht="15" hidden="false" customHeight="false" outlineLevel="0" collapsed="false">
      <c r="A4" s="5" t="s">
        <v>33</v>
      </c>
      <c r="B4" s="5" t="s">
        <v>29</v>
      </c>
      <c r="C4" s="5" t="s">
        <v>30</v>
      </c>
      <c r="D4" s="6" t="n">
        <v>15</v>
      </c>
      <c r="E4" s="6" t="n">
        <v>21</v>
      </c>
      <c r="F4" s="6" t="n">
        <v>248</v>
      </c>
      <c r="G4" s="6" t="n">
        <v>235</v>
      </c>
      <c r="H4" s="6" t="n">
        <v>16</v>
      </c>
      <c r="I4" s="7" t="n">
        <v>56911</v>
      </c>
      <c r="J4" s="6" t="n">
        <v>6</v>
      </c>
      <c r="K4" s="5" t="s">
        <v>31</v>
      </c>
    </row>
    <row r="5" customFormat="false" ht="15" hidden="false" customHeight="false" outlineLevel="0" collapsed="false">
      <c r="A5" s="8" t="s">
        <v>34</v>
      </c>
      <c r="B5" s="8" t="s">
        <v>29</v>
      </c>
      <c r="C5" s="8" t="s">
        <v>30</v>
      </c>
      <c r="D5" s="9" t="n">
        <v>17</v>
      </c>
      <c r="E5" s="9" t="n">
        <v>21</v>
      </c>
      <c r="F5" s="9" t="n">
        <v>246</v>
      </c>
      <c r="G5" s="9" t="n">
        <v>214</v>
      </c>
      <c r="H5" s="9" t="n">
        <v>14</v>
      </c>
      <c r="I5" s="10" t="n">
        <v>57013</v>
      </c>
      <c r="J5" s="9" t="n">
        <v>9</v>
      </c>
      <c r="K5" s="8" t="s">
        <v>31</v>
      </c>
    </row>
    <row r="6" customFormat="false" ht="15" hidden="false" customHeight="false" outlineLevel="0" collapsed="false">
      <c r="A6" s="5" t="s">
        <v>35</v>
      </c>
      <c r="B6" s="5" t="s">
        <v>29</v>
      </c>
      <c r="C6" s="5" t="s">
        <v>30</v>
      </c>
      <c r="D6" s="6" t="n">
        <v>16</v>
      </c>
      <c r="E6" s="6" t="n">
        <v>21</v>
      </c>
      <c r="F6" s="6" t="n">
        <v>227</v>
      </c>
      <c r="G6" s="6" t="n">
        <v>223</v>
      </c>
      <c r="H6" s="6" t="n">
        <v>17</v>
      </c>
      <c r="I6" s="7" t="n">
        <v>57398</v>
      </c>
      <c r="J6" s="6" t="n">
        <v>5</v>
      </c>
      <c r="K6" s="5" t="s">
        <v>31</v>
      </c>
    </row>
    <row r="7" customFormat="false" ht="15" hidden="false" customHeight="false" outlineLevel="0" collapsed="false">
      <c r="A7" s="8" t="s">
        <v>36</v>
      </c>
      <c r="B7" s="8" t="s">
        <v>29</v>
      </c>
      <c r="C7" s="8" t="s">
        <v>37</v>
      </c>
      <c r="D7" s="9" t="n">
        <v>18</v>
      </c>
      <c r="E7" s="9" t="n">
        <v>21</v>
      </c>
      <c r="F7" s="9" t="n">
        <v>438</v>
      </c>
      <c r="G7" s="9" t="n">
        <v>414</v>
      </c>
      <c r="H7" s="9" t="n">
        <v>17</v>
      </c>
      <c r="I7" s="10" t="n">
        <v>74046</v>
      </c>
      <c r="J7" s="9" t="n">
        <v>6</v>
      </c>
      <c r="K7" s="8" t="s">
        <v>31</v>
      </c>
    </row>
    <row r="8" customFormat="false" ht="15" hidden="false" customHeight="false" outlineLevel="0" collapsed="false">
      <c r="A8" s="5" t="s">
        <v>38</v>
      </c>
      <c r="B8" s="5" t="s">
        <v>29</v>
      </c>
      <c r="C8" s="5" t="s">
        <v>37</v>
      </c>
      <c r="D8" s="6" t="n">
        <v>24</v>
      </c>
      <c r="E8" s="6" t="n">
        <v>21</v>
      </c>
      <c r="F8" s="6" t="n">
        <v>431</v>
      </c>
      <c r="G8" s="6" t="n">
        <v>437</v>
      </c>
      <c r="H8" s="6" t="n">
        <v>19</v>
      </c>
      <c r="I8" s="7" t="n">
        <v>72805</v>
      </c>
      <c r="J8" s="6" t="n">
        <v>6</v>
      </c>
      <c r="K8" s="5" t="s">
        <v>31</v>
      </c>
    </row>
    <row r="9" customFormat="false" ht="15" hidden="false" customHeight="false" outlineLevel="0" collapsed="false">
      <c r="A9" s="8" t="s">
        <v>39</v>
      </c>
      <c r="B9" s="8" t="s">
        <v>29</v>
      </c>
      <c r="C9" s="8" t="s">
        <v>37</v>
      </c>
      <c r="D9" s="9" t="n">
        <v>19</v>
      </c>
      <c r="E9" s="9" t="n">
        <v>21</v>
      </c>
      <c r="F9" s="9" t="n">
        <v>428</v>
      </c>
      <c r="G9" s="9" t="n">
        <v>418</v>
      </c>
      <c r="H9" s="9" t="n">
        <v>21</v>
      </c>
      <c r="I9" s="10" t="n">
        <v>67767</v>
      </c>
      <c r="J9" s="9" t="n">
        <v>5</v>
      </c>
      <c r="K9" s="8" t="s">
        <v>31</v>
      </c>
    </row>
    <row r="10" customFormat="false" ht="15" hidden="false" customHeight="false" outlineLevel="0" collapsed="false">
      <c r="A10" s="5" t="s">
        <v>40</v>
      </c>
      <c r="B10" s="5" t="s">
        <v>29</v>
      </c>
      <c r="C10" s="5" t="s">
        <v>37</v>
      </c>
      <c r="D10" s="6" t="n">
        <v>24</v>
      </c>
      <c r="E10" s="6" t="n">
        <v>21</v>
      </c>
      <c r="F10" s="6" t="n">
        <v>442</v>
      </c>
      <c r="G10" s="6" t="n">
        <v>432</v>
      </c>
      <c r="H10" s="6" t="n">
        <v>26</v>
      </c>
      <c r="I10" s="7" t="n">
        <v>73904</v>
      </c>
      <c r="J10" s="6" t="n">
        <v>4</v>
      </c>
      <c r="K10" s="5" t="s">
        <v>31</v>
      </c>
    </row>
    <row r="11" customFormat="false" ht="15" hidden="false" customHeight="false" outlineLevel="0" collapsed="false">
      <c r="A11" s="8" t="s">
        <v>41</v>
      </c>
      <c r="B11" s="8" t="s">
        <v>29</v>
      </c>
      <c r="C11" s="8" t="s">
        <v>37</v>
      </c>
      <c r="D11" s="9" t="n">
        <v>24</v>
      </c>
      <c r="E11" s="9" t="n">
        <v>21</v>
      </c>
      <c r="F11" s="9" t="n">
        <v>445</v>
      </c>
      <c r="G11" s="9" t="n">
        <v>405</v>
      </c>
      <c r="H11" s="9" t="n">
        <v>23</v>
      </c>
      <c r="I11" s="10" t="n">
        <v>70445</v>
      </c>
      <c r="J11" s="9" t="n">
        <v>5</v>
      </c>
      <c r="K11" s="8" t="s">
        <v>31</v>
      </c>
    </row>
    <row r="12" customFormat="false" ht="15" hidden="false" customHeight="false" outlineLevel="0" collapsed="false">
      <c r="A12" s="5" t="s">
        <v>42</v>
      </c>
      <c r="B12" s="5" t="s">
        <v>29</v>
      </c>
      <c r="C12" s="5" t="s">
        <v>43</v>
      </c>
      <c r="D12" s="6" t="n">
        <v>15</v>
      </c>
      <c r="E12" s="6" t="n">
        <v>21</v>
      </c>
      <c r="F12" s="6" t="n">
        <v>193</v>
      </c>
      <c r="G12" s="6" t="n">
        <v>191</v>
      </c>
      <c r="H12" s="6" t="n">
        <v>30</v>
      </c>
      <c r="I12" s="7" t="n">
        <v>68611</v>
      </c>
      <c r="J12" s="6" t="n">
        <v>19</v>
      </c>
      <c r="K12" s="5" t="s">
        <v>31</v>
      </c>
    </row>
    <row r="13" customFormat="false" ht="15" hidden="false" customHeight="false" outlineLevel="0" collapsed="false">
      <c r="A13" s="8" t="s">
        <v>44</v>
      </c>
      <c r="B13" s="8" t="s">
        <v>29</v>
      </c>
      <c r="C13" s="8" t="s">
        <v>43</v>
      </c>
      <c r="D13" s="9" t="n">
        <v>16</v>
      </c>
      <c r="E13" s="9" t="n">
        <v>21</v>
      </c>
      <c r="F13" s="9" t="n">
        <v>192</v>
      </c>
      <c r="G13" s="9" t="n">
        <v>188</v>
      </c>
      <c r="H13" s="9" t="n">
        <v>24</v>
      </c>
      <c r="I13" s="10" t="n">
        <v>68774</v>
      </c>
      <c r="J13" s="9" t="n">
        <v>12</v>
      </c>
      <c r="K13" s="8" t="s">
        <v>31</v>
      </c>
    </row>
    <row r="14" customFormat="false" ht="15" hidden="false" customHeight="false" outlineLevel="0" collapsed="false">
      <c r="A14" s="5" t="s">
        <v>45</v>
      </c>
      <c r="B14" s="5" t="s">
        <v>29</v>
      </c>
      <c r="C14" s="5" t="s">
        <v>43</v>
      </c>
      <c r="D14" s="6" t="n">
        <v>16</v>
      </c>
      <c r="E14" s="6" t="n">
        <v>21</v>
      </c>
      <c r="F14" s="6" t="n">
        <v>199</v>
      </c>
      <c r="G14" s="6" t="n">
        <v>180</v>
      </c>
      <c r="H14" s="6" t="n">
        <v>26</v>
      </c>
      <c r="I14" s="7" t="n">
        <v>68146</v>
      </c>
      <c r="J14" s="6" t="n">
        <v>15</v>
      </c>
      <c r="K14" s="5" t="s">
        <v>31</v>
      </c>
    </row>
    <row r="15" customFormat="false" ht="15" hidden="false" customHeight="false" outlineLevel="0" collapsed="false">
      <c r="A15" s="8" t="s">
        <v>46</v>
      </c>
      <c r="B15" s="8" t="s">
        <v>29</v>
      </c>
      <c r="C15" s="8" t="s">
        <v>43</v>
      </c>
      <c r="D15" s="9" t="n">
        <v>14</v>
      </c>
      <c r="E15" s="9" t="n">
        <v>21</v>
      </c>
      <c r="F15" s="9" t="n">
        <v>165</v>
      </c>
      <c r="G15" s="9" t="n">
        <v>153</v>
      </c>
      <c r="H15" s="9" t="n">
        <v>19</v>
      </c>
      <c r="I15" s="10" t="n">
        <v>68418</v>
      </c>
      <c r="J15" s="9" t="n">
        <v>9</v>
      </c>
      <c r="K15" s="8" t="s">
        <v>31</v>
      </c>
    </row>
    <row r="16" customFormat="false" ht="15" hidden="false" customHeight="false" outlineLevel="0" collapsed="false">
      <c r="A16" s="5" t="s">
        <v>47</v>
      </c>
      <c r="B16" s="5" t="s">
        <v>29</v>
      </c>
      <c r="C16" s="5" t="s">
        <v>43</v>
      </c>
      <c r="D16" s="6" t="n">
        <v>13</v>
      </c>
      <c r="E16" s="6" t="n">
        <v>21</v>
      </c>
      <c r="F16" s="6" t="n">
        <v>177</v>
      </c>
      <c r="G16" s="6" t="n">
        <v>172</v>
      </c>
      <c r="H16" s="6" t="n">
        <v>24</v>
      </c>
      <c r="I16" s="7" t="n">
        <v>66749</v>
      </c>
      <c r="J16" s="6" t="n">
        <v>16</v>
      </c>
      <c r="K16" s="5" t="s">
        <v>31</v>
      </c>
    </row>
    <row r="17" customFormat="false" ht="15" hidden="false" customHeight="false" outlineLevel="0" collapsed="false">
      <c r="A17" s="8" t="s">
        <v>48</v>
      </c>
      <c r="B17" s="8" t="s">
        <v>29</v>
      </c>
      <c r="C17" s="8" t="s">
        <v>49</v>
      </c>
      <c r="D17" s="9" t="n">
        <v>11</v>
      </c>
      <c r="E17" s="9" t="n">
        <v>21</v>
      </c>
      <c r="F17" s="9" t="n">
        <v>314</v>
      </c>
      <c r="G17" s="9" t="n">
        <v>308</v>
      </c>
      <c r="H17" s="9" t="n">
        <v>12</v>
      </c>
      <c r="I17" s="10" t="n">
        <v>40704</v>
      </c>
      <c r="J17" s="9" t="n">
        <v>2</v>
      </c>
      <c r="K17" s="8" t="s">
        <v>31</v>
      </c>
    </row>
    <row r="18" customFormat="false" ht="15" hidden="false" customHeight="false" outlineLevel="0" collapsed="false">
      <c r="A18" s="5" t="s">
        <v>50</v>
      </c>
      <c r="B18" s="5" t="s">
        <v>29</v>
      </c>
      <c r="C18" s="5" t="s">
        <v>49</v>
      </c>
      <c r="D18" s="6" t="n">
        <v>12</v>
      </c>
      <c r="E18" s="6" t="n">
        <v>21</v>
      </c>
      <c r="F18" s="6" t="n">
        <v>316</v>
      </c>
      <c r="G18" s="6" t="n">
        <v>327</v>
      </c>
      <c r="H18" s="6" t="n">
        <v>15</v>
      </c>
      <c r="I18" s="7" t="n">
        <v>43037</v>
      </c>
      <c r="J18" s="6" t="n">
        <v>2</v>
      </c>
      <c r="K18" s="5" t="s">
        <v>31</v>
      </c>
    </row>
    <row r="19" customFormat="false" ht="15" hidden="false" customHeight="false" outlineLevel="0" collapsed="false">
      <c r="A19" s="8" t="s">
        <v>51</v>
      </c>
      <c r="B19" s="8" t="s">
        <v>29</v>
      </c>
      <c r="C19" s="8" t="s">
        <v>49</v>
      </c>
      <c r="D19" s="9" t="n">
        <v>8</v>
      </c>
      <c r="E19" s="9" t="n">
        <v>21</v>
      </c>
      <c r="F19" s="9" t="n">
        <v>290</v>
      </c>
      <c r="G19" s="9" t="n">
        <v>264</v>
      </c>
      <c r="H19" s="9" t="n">
        <v>10</v>
      </c>
      <c r="I19" s="10" t="n">
        <v>41711</v>
      </c>
      <c r="J19" s="9" t="n">
        <v>2</v>
      </c>
      <c r="K19" s="8" t="s">
        <v>31</v>
      </c>
    </row>
    <row r="20" customFormat="false" ht="15" hidden="false" customHeight="false" outlineLevel="0" collapsed="false">
      <c r="A20" s="5" t="s">
        <v>52</v>
      </c>
      <c r="B20" s="5" t="s">
        <v>29</v>
      </c>
      <c r="C20" s="5" t="s">
        <v>49</v>
      </c>
      <c r="D20" s="6" t="n">
        <v>9</v>
      </c>
      <c r="E20" s="6" t="n">
        <v>21</v>
      </c>
      <c r="F20" s="6" t="n">
        <v>312</v>
      </c>
      <c r="G20" s="6" t="n">
        <v>311</v>
      </c>
      <c r="H20" s="6" t="n">
        <v>11</v>
      </c>
      <c r="I20" s="7" t="n">
        <v>41677</v>
      </c>
      <c r="J20" s="6" t="n">
        <v>2</v>
      </c>
      <c r="K20" s="5" t="s">
        <v>31</v>
      </c>
    </row>
    <row r="21" customFormat="false" ht="15" hidden="false" customHeight="false" outlineLevel="0" collapsed="false">
      <c r="A21" s="8" t="s">
        <v>53</v>
      </c>
      <c r="B21" s="8" t="s">
        <v>29</v>
      </c>
      <c r="C21" s="8" t="s">
        <v>49</v>
      </c>
      <c r="D21" s="9" t="n">
        <v>8</v>
      </c>
      <c r="E21" s="9" t="n">
        <v>21</v>
      </c>
      <c r="F21" s="9" t="n">
        <v>297</v>
      </c>
      <c r="G21" s="9" t="n">
        <v>256</v>
      </c>
      <c r="H21" s="9" t="n">
        <v>9</v>
      </c>
      <c r="I21" s="10" t="n">
        <v>42435</v>
      </c>
      <c r="J21" s="9" t="n">
        <v>1</v>
      </c>
      <c r="K21" s="8" t="s">
        <v>31</v>
      </c>
    </row>
    <row r="22" customFormat="false" ht="15" hidden="false" customHeight="false" outlineLevel="0" collapsed="false">
      <c r="A22" s="5" t="s">
        <v>54</v>
      </c>
      <c r="B22" s="5" t="s">
        <v>55</v>
      </c>
      <c r="C22" s="5" t="s">
        <v>30</v>
      </c>
      <c r="D22" s="6" t="n">
        <v>17</v>
      </c>
      <c r="E22" s="6" t="n">
        <v>22</v>
      </c>
      <c r="F22" s="6" t="n">
        <v>258</v>
      </c>
      <c r="G22" s="6" t="n">
        <v>248</v>
      </c>
      <c r="H22" s="6" t="n">
        <v>20</v>
      </c>
      <c r="I22" s="7" t="n">
        <v>57812</v>
      </c>
      <c r="J22" s="6" t="n">
        <v>9</v>
      </c>
      <c r="K22" s="5" t="s">
        <v>31</v>
      </c>
    </row>
    <row r="23" customFormat="false" ht="15" hidden="false" customHeight="false" outlineLevel="0" collapsed="false">
      <c r="A23" s="8" t="s">
        <v>56</v>
      </c>
      <c r="B23" s="8" t="s">
        <v>55</v>
      </c>
      <c r="C23" s="8" t="s">
        <v>30</v>
      </c>
      <c r="D23" s="9" t="n">
        <v>14</v>
      </c>
      <c r="E23" s="9" t="n">
        <v>22</v>
      </c>
      <c r="F23" s="9" t="n">
        <v>246</v>
      </c>
      <c r="G23" s="9" t="n">
        <v>238</v>
      </c>
      <c r="H23" s="9" t="n">
        <v>17</v>
      </c>
      <c r="I23" s="10" t="n">
        <v>54252</v>
      </c>
      <c r="J23" s="9" t="n">
        <v>7</v>
      </c>
      <c r="K23" s="8" t="s">
        <v>31</v>
      </c>
    </row>
    <row r="24" customFormat="false" ht="15" hidden="false" customHeight="false" outlineLevel="0" collapsed="false">
      <c r="A24" s="5" t="s">
        <v>57</v>
      </c>
      <c r="B24" s="5" t="s">
        <v>55</v>
      </c>
      <c r="C24" s="5" t="s">
        <v>30</v>
      </c>
      <c r="D24" s="6" t="n">
        <v>14</v>
      </c>
      <c r="E24" s="6" t="n">
        <v>22</v>
      </c>
      <c r="F24" s="6" t="n">
        <v>236</v>
      </c>
      <c r="G24" s="6" t="n">
        <v>222</v>
      </c>
      <c r="H24" s="6" t="n">
        <v>16</v>
      </c>
      <c r="I24" s="7" t="n">
        <v>57126</v>
      </c>
      <c r="J24" s="6" t="n">
        <v>9</v>
      </c>
      <c r="K24" s="5" t="s">
        <v>31</v>
      </c>
    </row>
    <row r="25" customFormat="false" ht="15" hidden="false" customHeight="false" outlineLevel="0" collapsed="false">
      <c r="A25" s="8" t="s">
        <v>58</v>
      </c>
      <c r="B25" s="8" t="s">
        <v>55</v>
      </c>
      <c r="C25" s="8" t="s">
        <v>30</v>
      </c>
      <c r="D25" s="9" t="n">
        <v>16</v>
      </c>
      <c r="E25" s="9" t="n">
        <v>22</v>
      </c>
      <c r="F25" s="9" t="n">
        <v>236</v>
      </c>
      <c r="G25" s="9" t="n">
        <v>205</v>
      </c>
      <c r="H25" s="9" t="n">
        <v>17</v>
      </c>
      <c r="I25" s="10" t="n">
        <v>59656</v>
      </c>
      <c r="J25" s="9" t="n">
        <v>7</v>
      </c>
      <c r="K25" s="8" t="s">
        <v>31</v>
      </c>
    </row>
    <row r="26" customFormat="false" ht="15" hidden="false" customHeight="false" outlineLevel="0" collapsed="false">
      <c r="A26" s="5" t="s">
        <v>59</v>
      </c>
      <c r="B26" s="5" t="s">
        <v>55</v>
      </c>
      <c r="C26" s="5" t="s">
        <v>30</v>
      </c>
      <c r="D26" s="6" t="n">
        <v>16</v>
      </c>
      <c r="E26" s="6" t="n">
        <v>22</v>
      </c>
      <c r="F26" s="6" t="n">
        <v>251</v>
      </c>
      <c r="G26" s="6" t="n">
        <v>235</v>
      </c>
      <c r="H26" s="6" t="n">
        <v>20</v>
      </c>
      <c r="I26" s="7" t="n">
        <v>59491</v>
      </c>
      <c r="J26" s="6" t="n">
        <v>8</v>
      </c>
      <c r="K26" s="5" t="s">
        <v>31</v>
      </c>
    </row>
    <row r="27" customFormat="false" ht="15" hidden="false" customHeight="false" outlineLevel="0" collapsed="false">
      <c r="A27" s="8" t="s">
        <v>60</v>
      </c>
      <c r="B27" s="8" t="s">
        <v>55</v>
      </c>
      <c r="C27" s="8" t="s">
        <v>37</v>
      </c>
      <c r="D27" s="9" t="n">
        <v>20</v>
      </c>
      <c r="E27" s="9" t="n">
        <v>22</v>
      </c>
      <c r="F27" s="9" t="n">
        <v>458</v>
      </c>
      <c r="G27" s="9" t="n">
        <v>435</v>
      </c>
      <c r="H27" s="9" t="n">
        <v>19</v>
      </c>
      <c r="I27" s="10" t="n">
        <v>75473</v>
      </c>
      <c r="J27" s="9" t="n">
        <v>4</v>
      </c>
      <c r="K27" s="8" t="s">
        <v>31</v>
      </c>
    </row>
    <row r="28" customFormat="false" ht="15" hidden="false" customHeight="false" outlineLevel="0" collapsed="false">
      <c r="A28" s="5" t="s">
        <v>61</v>
      </c>
      <c r="B28" s="5" t="s">
        <v>55</v>
      </c>
      <c r="C28" s="5" t="s">
        <v>37</v>
      </c>
      <c r="D28" s="6" t="n">
        <v>21</v>
      </c>
      <c r="E28" s="6" t="n">
        <v>22</v>
      </c>
      <c r="F28" s="6" t="n">
        <v>461</v>
      </c>
      <c r="G28" s="6" t="n">
        <v>463</v>
      </c>
      <c r="H28" s="6" t="n">
        <v>22</v>
      </c>
      <c r="I28" s="7" t="n">
        <v>74774</v>
      </c>
      <c r="J28" s="6" t="n">
        <v>5</v>
      </c>
      <c r="K28" s="5" t="s">
        <v>31</v>
      </c>
    </row>
    <row r="29" customFormat="false" ht="15" hidden="false" customHeight="false" outlineLevel="0" collapsed="false">
      <c r="A29" s="8" t="s">
        <v>62</v>
      </c>
      <c r="B29" s="8" t="s">
        <v>55</v>
      </c>
      <c r="C29" s="8" t="s">
        <v>37</v>
      </c>
      <c r="D29" s="9" t="n">
        <v>18</v>
      </c>
      <c r="E29" s="9" t="n">
        <v>22</v>
      </c>
      <c r="F29" s="9" t="n">
        <v>475</v>
      </c>
      <c r="G29" s="9" t="n">
        <v>468</v>
      </c>
      <c r="H29" s="9" t="n">
        <v>27</v>
      </c>
      <c r="I29" s="10" t="n">
        <v>67998</v>
      </c>
      <c r="J29" s="9" t="n">
        <v>7</v>
      </c>
      <c r="K29" s="8" t="s">
        <v>31</v>
      </c>
    </row>
    <row r="30" customFormat="false" ht="15" hidden="false" customHeight="false" outlineLevel="0" collapsed="false">
      <c r="A30" s="5" t="s">
        <v>63</v>
      </c>
      <c r="B30" s="5" t="s">
        <v>55</v>
      </c>
      <c r="C30" s="5" t="s">
        <v>37</v>
      </c>
      <c r="D30" s="6" t="n">
        <v>18</v>
      </c>
      <c r="E30" s="6" t="n">
        <v>22</v>
      </c>
      <c r="F30" s="6" t="n">
        <v>467</v>
      </c>
      <c r="G30" s="6" t="n">
        <v>456</v>
      </c>
      <c r="H30" s="6" t="n">
        <v>25</v>
      </c>
      <c r="I30" s="7" t="n">
        <v>70259</v>
      </c>
      <c r="J30" s="6" t="n">
        <v>5</v>
      </c>
      <c r="K30" s="5" t="s">
        <v>31</v>
      </c>
    </row>
    <row r="31" customFormat="false" ht="15" hidden="false" customHeight="false" outlineLevel="0" collapsed="false">
      <c r="A31" s="8" t="s">
        <v>64</v>
      </c>
      <c r="B31" s="8" t="s">
        <v>55</v>
      </c>
      <c r="C31" s="8" t="s">
        <v>37</v>
      </c>
      <c r="D31" s="9" t="n">
        <v>19</v>
      </c>
      <c r="E31" s="9" t="n">
        <v>22</v>
      </c>
      <c r="F31" s="9" t="n">
        <v>444</v>
      </c>
      <c r="G31" s="9" t="n">
        <v>448</v>
      </c>
      <c r="H31" s="9" t="n">
        <v>19</v>
      </c>
      <c r="I31" s="10" t="n">
        <v>73775</v>
      </c>
      <c r="J31" s="9" t="n">
        <v>5</v>
      </c>
      <c r="K31" s="8" t="s">
        <v>31</v>
      </c>
    </row>
    <row r="32" customFormat="false" ht="15" hidden="false" customHeight="false" outlineLevel="0" collapsed="false">
      <c r="A32" s="5" t="s">
        <v>65</v>
      </c>
      <c r="B32" s="5" t="s">
        <v>55</v>
      </c>
      <c r="C32" s="5" t="s">
        <v>43</v>
      </c>
      <c r="D32" s="6" t="n">
        <v>14</v>
      </c>
      <c r="E32" s="6" t="n">
        <v>22</v>
      </c>
      <c r="F32" s="6" t="n">
        <v>187</v>
      </c>
      <c r="G32" s="6" t="n">
        <v>186</v>
      </c>
      <c r="H32" s="6" t="n">
        <v>21</v>
      </c>
      <c r="I32" s="7" t="n">
        <v>65549</v>
      </c>
      <c r="J32" s="6" t="n">
        <v>13</v>
      </c>
      <c r="K32" s="5" t="s">
        <v>31</v>
      </c>
    </row>
    <row r="33" customFormat="false" ht="15" hidden="false" customHeight="false" outlineLevel="0" collapsed="false">
      <c r="A33" s="8" t="s">
        <v>66</v>
      </c>
      <c r="B33" s="8" t="s">
        <v>55</v>
      </c>
      <c r="C33" s="8" t="s">
        <v>43</v>
      </c>
      <c r="D33" s="9" t="n">
        <v>15</v>
      </c>
      <c r="E33" s="9" t="n">
        <v>22</v>
      </c>
      <c r="F33" s="9" t="n">
        <v>206</v>
      </c>
      <c r="G33" s="9" t="n">
        <v>204</v>
      </c>
      <c r="H33" s="9" t="n">
        <v>35</v>
      </c>
      <c r="I33" s="10" t="n">
        <v>67987</v>
      </c>
      <c r="J33" s="9" t="n">
        <v>15</v>
      </c>
      <c r="K33" s="8" t="s">
        <v>31</v>
      </c>
    </row>
    <row r="34" customFormat="false" ht="15" hidden="false" customHeight="false" outlineLevel="0" collapsed="false">
      <c r="A34" s="5" t="s">
        <v>67</v>
      </c>
      <c r="B34" s="5" t="s">
        <v>55</v>
      </c>
      <c r="C34" s="5" t="s">
        <v>43</v>
      </c>
      <c r="D34" s="6"/>
      <c r="E34" s="6" t="n">
        <v>22</v>
      </c>
      <c r="F34" s="6" t="n">
        <v>173</v>
      </c>
      <c r="G34" s="6" t="n">
        <v>175</v>
      </c>
      <c r="H34" s="6" t="n">
        <v>22</v>
      </c>
      <c r="I34" s="7" t="n">
        <v>70813</v>
      </c>
      <c r="J34" s="6" t="n">
        <v>17</v>
      </c>
      <c r="K34" s="5" t="s">
        <v>68</v>
      </c>
    </row>
    <row r="35" customFormat="false" ht="15" hidden="false" customHeight="false" outlineLevel="0" collapsed="false">
      <c r="A35" s="8" t="s">
        <v>69</v>
      </c>
      <c r="B35" s="8" t="s">
        <v>55</v>
      </c>
      <c r="C35" s="8" t="s">
        <v>43</v>
      </c>
      <c r="D35" s="9" t="n">
        <v>12</v>
      </c>
      <c r="E35" s="9" t="n">
        <v>22</v>
      </c>
      <c r="F35" s="9" t="n">
        <v>185</v>
      </c>
      <c r="G35" s="9" t="n">
        <v>188</v>
      </c>
      <c r="H35" s="9" t="n">
        <v>28</v>
      </c>
      <c r="I35" s="10" t="n">
        <v>66742</v>
      </c>
      <c r="J35" s="9" t="n">
        <v>20</v>
      </c>
      <c r="K35" s="8" t="s">
        <v>31</v>
      </c>
    </row>
    <row r="36" customFormat="false" ht="15" hidden="false" customHeight="false" outlineLevel="0" collapsed="false">
      <c r="A36" s="5" t="s">
        <v>70</v>
      </c>
      <c r="B36" s="5" t="s">
        <v>55</v>
      </c>
      <c r="C36" s="5" t="s">
        <v>43</v>
      </c>
      <c r="D36" s="6" t="n">
        <v>12</v>
      </c>
      <c r="E36" s="6" t="n">
        <v>22</v>
      </c>
      <c r="F36" s="6" t="n">
        <v>204</v>
      </c>
      <c r="G36" s="6" t="n">
        <v>203</v>
      </c>
      <c r="H36" s="6" t="n">
        <v>30</v>
      </c>
      <c r="I36" s="7" t="n">
        <v>74106</v>
      </c>
      <c r="J36" s="6" t="n">
        <v>15</v>
      </c>
      <c r="K36" s="5" t="s">
        <v>31</v>
      </c>
    </row>
    <row r="37" customFormat="false" ht="15" hidden="false" customHeight="false" outlineLevel="0" collapsed="false">
      <c r="A37" s="8" t="s">
        <v>71</v>
      </c>
      <c r="B37" s="8" t="s">
        <v>55</v>
      </c>
      <c r="C37" s="8" t="s">
        <v>49</v>
      </c>
      <c r="D37" s="9" t="n">
        <v>12</v>
      </c>
      <c r="E37" s="9" t="n">
        <v>22</v>
      </c>
      <c r="F37" s="9" t="n">
        <v>304</v>
      </c>
      <c r="G37" s="9" t="n">
        <v>309</v>
      </c>
      <c r="H37" s="9" t="n">
        <v>12</v>
      </c>
      <c r="I37" s="10" t="n">
        <v>43531</v>
      </c>
      <c r="J37" s="9" t="n">
        <v>2</v>
      </c>
      <c r="K37" s="8" t="s">
        <v>31</v>
      </c>
    </row>
    <row r="38" customFormat="false" ht="15" hidden="false" customHeight="false" outlineLevel="0" collapsed="false">
      <c r="A38" s="5" t="s">
        <v>72</v>
      </c>
      <c r="B38" s="5" t="s">
        <v>55</v>
      </c>
      <c r="C38" s="5" t="s">
        <v>49</v>
      </c>
      <c r="D38" s="6" t="n">
        <v>8</v>
      </c>
      <c r="E38" s="6" t="n">
        <v>22</v>
      </c>
      <c r="F38" s="6" t="n">
        <v>301</v>
      </c>
      <c r="G38" s="6" t="n">
        <v>291</v>
      </c>
      <c r="H38" s="6" t="n">
        <v>12</v>
      </c>
      <c r="I38" s="7" t="n">
        <v>40821</v>
      </c>
      <c r="J38" s="6" t="n">
        <v>2</v>
      </c>
      <c r="K38" s="5" t="s">
        <v>31</v>
      </c>
    </row>
    <row r="39" customFormat="false" ht="15" hidden="false" customHeight="false" outlineLevel="0" collapsed="false">
      <c r="A39" s="8" t="s">
        <v>73</v>
      </c>
      <c r="B39" s="8" t="s">
        <v>55</v>
      </c>
      <c r="C39" s="8" t="s">
        <v>49</v>
      </c>
      <c r="D39" s="9" t="n">
        <v>8</v>
      </c>
      <c r="E39" s="9" t="n">
        <v>22</v>
      </c>
      <c r="F39" s="9" t="n">
        <v>324</v>
      </c>
      <c r="G39" s="9" t="n">
        <v>291</v>
      </c>
      <c r="H39" s="9" t="n">
        <v>13</v>
      </c>
      <c r="I39" s="10" t="n">
        <v>42527</v>
      </c>
      <c r="J39" s="9" t="n">
        <v>2</v>
      </c>
      <c r="K39" s="8" t="s">
        <v>31</v>
      </c>
    </row>
    <row r="40" customFormat="false" ht="15" hidden="false" customHeight="false" outlineLevel="0" collapsed="false">
      <c r="A40" s="5" t="s">
        <v>74</v>
      </c>
      <c r="B40" s="5" t="s">
        <v>55</v>
      </c>
      <c r="C40" s="5" t="s">
        <v>49</v>
      </c>
      <c r="D40" s="6" t="n">
        <v>12</v>
      </c>
      <c r="E40" s="6" t="n">
        <v>22</v>
      </c>
      <c r="F40" s="6" t="n">
        <v>320</v>
      </c>
      <c r="G40" s="6" t="n">
        <v>318</v>
      </c>
      <c r="H40" s="6" t="n">
        <v>13</v>
      </c>
      <c r="I40" s="7" t="n">
        <v>40341</v>
      </c>
      <c r="J40" s="6" t="n">
        <v>3</v>
      </c>
      <c r="K40" s="5" t="s">
        <v>31</v>
      </c>
    </row>
    <row r="41" customFormat="false" ht="15" hidden="false" customHeight="false" outlineLevel="0" collapsed="false">
      <c r="A41" s="8" t="s">
        <v>75</v>
      </c>
      <c r="B41" s="8" t="s">
        <v>55</v>
      </c>
      <c r="C41" s="8" t="s">
        <v>49</v>
      </c>
      <c r="D41" s="9" t="n">
        <v>11</v>
      </c>
      <c r="E41" s="9" t="n">
        <v>22</v>
      </c>
      <c r="F41" s="9" t="n">
        <v>317</v>
      </c>
      <c r="G41" s="9" t="n">
        <v>299</v>
      </c>
      <c r="H41" s="9" t="n">
        <v>12</v>
      </c>
      <c r="I41" s="10" t="n">
        <v>41794</v>
      </c>
      <c r="J41" s="9" t="n">
        <v>2</v>
      </c>
      <c r="K41" s="8" t="s">
        <v>31</v>
      </c>
    </row>
    <row r="42" customFormat="false" ht="15" hidden="false" customHeight="false" outlineLevel="0" collapsed="false">
      <c r="A42" s="5" t="s">
        <v>76</v>
      </c>
      <c r="B42" s="5" t="s">
        <v>77</v>
      </c>
      <c r="C42" s="5" t="s">
        <v>30</v>
      </c>
      <c r="D42" s="6" t="n">
        <v>15</v>
      </c>
      <c r="E42" s="6" t="n">
        <v>22</v>
      </c>
      <c r="F42" s="6" t="n">
        <v>274</v>
      </c>
      <c r="G42" s="6" t="n">
        <v>253</v>
      </c>
      <c r="H42" s="6" t="n">
        <v>18</v>
      </c>
      <c r="I42" s="7" t="n">
        <v>60667</v>
      </c>
      <c r="J42" s="6" t="n">
        <v>7</v>
      </c>
      <c r="K42" s="5" t="s">
        <v>31</v>
      </c>
    </row>
    <row r="43" customFormat="false" ht="15" hidden="false" customHeight="false" outlineLevel="0" collapsed="false">
      <c r="A43" s="8" t="s">
        <v>78</v>
      </c>
      <c r="B43" s="8" t="s">
        <v>77</v>
      </c>
      <c r="C43" s="8" t="s">
        <v>30</v>
      </c>
      <c r="D43" s="9" t="n">
        <v>15</v>
      </c>
      <c r="E43" s="9" t="n">
        <v>22</v>
      </c>
      <c r="F43" s="9" t="n">
        <v>260</v>
      </c>
      <c r="G43" s="9" t="n">
        <v>256</v>
      </c>
      <c r="H43" s="9" t="n">
        <v>19</v>
      </c>
      <c r="I43" s="10" t="n">
        <v>61348</v>
      </c>
      <c r="J43" s="9" t="n">
        <v>8</v>
      </c>
      <c r="K43" s="8" t="s">
        <v>31</v>
      </c>
    </row>
    <row r="44" customFormat="false" ht="15" hidden="false" customHeight="false" outlineLevel="0" collapsed="false">
      <c r="A44" s="5" t="s">
        <v>79</v>
      </c>
      <c r="B44" s="5" t="s">
        <v>77</v>
      </c>
      <c r="C44" s="5" t="s">
        <v>30</v>
      </c>
      <c r="D44" s="6" t="n">
        <v>15</v>
      </c>
      <c r="E44" s="6" t="n">
        <v>22</v>
      </c>
      <c r="F44" s="6" t="n">
        <v>268</v>
      </c>
      <c r="G44" s="6" t="n">
        <v>252</v>
      </c>
      <c r="H44" s="6" t="n">
        <v>16</v>
      </c>
      <c r="I44" s="7" t="n">
        <v>58581</v>
      </c>
      <c r="J44" s="6" t="n">
        <v>9</v>
      </c>
      <c r="K44" s="5" t="s">
        <v>31</v>
      </c>
    </row>
    <row r="45" customFormat="false" ht="15" hidden="false" customHeight="false" outlineLevel="0" collapsed="false">
      <c r="A45" s="8" t="s">
        <v>80</v>
      </c>
      <c r="B45" s="8" t="s">
        <v>77</v>
      </c>
      <c r="C45" s="8" t="s">
        <v>30</v>
      </c>
      <c r="D45" s="9" t="n">
        <v>17</v>
      </c>
      <c r="E45" s="9" t="n">
        <v>22</v>
      </c>
      <c r="F45" s="9" t="n">
        <v>244</v>
      </c>
      <c r="G45" s="9" t="n">
        <v>235</v>
      </c>
      <c r="H45" s="9" t="n">
        <v>15</v>
      </c>
      <c r="I45" s="10" t="n">
        <v>57039</v>
      </c>
      <c r="J45" s="9" t="n">
        <v>10</v>
      </c>
      <c r="K45" s="8" t="s">
        <v>31</v>
      </c>
    </row>
    <row r="46" customFormat="false" ht="15" hidden="false" customHeight="false" outlineLevel="0" collapsed="false">
      <c r="A46" s="5" t="s">
        <v>81</v>
      </c>
      <c r="B46" s="5" t="s">
        <v>77</v>
      </c>
      <c r="C46" s="5" t="s">
        <v>30</v>
      </c>
      <c r="D46" s="6" t="n">
        <v>17</v>
      </c>
      <c r="E46" s="6" t="n">
        <v>22</v>
      </c>
      <c r="F46" s="6" t="n">
        <v>277</v>
      </c>
      <c r="G46" s="6" t="n">
        <v>270</v>
      </c>
      <c r="H46" s="6" t="n">
        <v>17</v>
      </c>
      <c r="I46" s="7" t="n">
        <v>56744</v>
      </c>
      <c r="J46" s="6" t="n">
        <v>9</v>
      </c>
      <c r="K46" s="5" t="s">
        <v>31</v>
      </c>
    </row>
    <row r="47" customFormat="false" ht="15" hidden="false" customHeight="false" outlineLevel="0" collapsed="false">
      <c r="A47" s="8" t="s">
        <v>82</v>
      </c>
      <c r="B47" s="8" t="s">
        <v>77</v>
      </c>
      <c r="C47" s="8" t="s">
        <v>37</v>
      </c>
      <c r="D47" s="9" t="n">
        <v>24</v>
      </c>
      <c r="E47" s="9" t="n">
        <v>22</v>
      </c>
      <c r="F47" s="9" t="n">
        <v>481</v>
      </c>
      <c r="G47" s="9" t="n">
        <v>458</v>
      </c>
      <c r="H47" s="9" t="n">
        <v>18</v>
      </c>
      <c r="I47" s="10" t="n">
        <v>75060</v>
      </c>
      <c r="J47" s="9" t="n">
        <v>8</v>
      </c>
      <c r="K47" s="8" t="s">
        <v>31</v>
      </c>
    </row>
    <row r="48" customFormat="false" ht="15" hidden="false" customHeight="false" outlineLevel="0" collapsed="false">
      <c r="A48" s="5" t="s">
        <v>83</v>
      </c>
      <c r="B48" s="5" t="s">
        <v>77</v>
      </c>
      <c r="C48" s="5" t="s">
        <v>37</v>
      </c>
      <c r="D48" s="6" t="n">
        <v>23</v>
      </c>
      <c r="E48" s="6" t="n">
        <v>22</v>
      </c>
      <c r="F48" s="6" t="n">
        <v>492</v>
      </c>
      <c r="G48" s="6" t="n">
        <v>466</v>
      </c>
      <c r="H48" s="6" t="n">
        <v>28</v>
      </c>
      <c r="I48" s="7" t="n">
        <v>76625</v>
      </c>
      <c r="J48" s="6" t="n">
        <v>6</v>
      </c>
      <c r="K48" s="5" t="s">
        <v>31</v>
      </c>
    </row>
    <row r="49" customFormat="false" ht="15" hidden="false" customHeight="false" outlineLevel="0" collapsed="false">
      <c r="A49" s="8" t="s">
        <v>84</v>
      </c>
      <c r="B49" s="8" t="s">
        <v>77</v>
      </c>
      <c r="C49" s="8" t="s">
        <v>37</v>
      </c>
      <c r="D49" s="9" t="n">
        <v>23</v>
      </c>
      <c r="E49" s="9" t="n">
        <v>22</v>
      </c>
      <c r="F49" s="9" t="n">
        <v>491</v>
      </c>
      <c r="G49" s="9" t="n">
        <v>523</v>
      </c>
      <c r="H49" s="9" t="n">
        <v>28</v>
      </c>
      <c r="I49" s="10" t="n">
        <v>79021</v>
      </c>
      <c r="J49" s="9" t="n">
        <v>8</v>
      </c>
      <c r="K49" s="8" t="s">
        <v>31</v>
      </c>
    </row>
    <row r="50" customFormat="false" ht="15" hidden="false" customHeight="false" outlineLevel="0" collapsed="false">
      <c r="A50" s="5" t="s">
        <v>85</v>
      </c>
      <c r="B50" s="5" t="s">
        <v>77</v>
      </c>
      <c r="C50" s="5" t="s">
        <v>37</v>
      </c>
      <c r="D50" s="6" t="n">
        <v>22</v>
      </c>
      <c r="E50" s="6" t="n">
        <v>22</v>
      </c>
      <c r="F50" s="6" t="n">
        <v>489</v>
      </c>
      <c r="G50" s="6" t="n">
        <v>472</v>
      </c>
      <c r="H50" s="6" t="n">
        <v>23</v>
      </c>
      <c r="I50" s="7" t="n">
        <v>73787</v>
      </c>
      <c r="J50" s="6" t="n">
        <v>8</v>
      </c>
      <c r="K50" s="5" t="s">
        <v>31</v>
      </c>
    </row>
    <row r="51" customFormat="false" ht="15" hidden="false" customHeight="false" outlineLevel="0" collapsed="false">
      <c r="A51" s="8" t="s">
        <v>86</v>
      </c>
      <c r="B51" s="8" t="s">
        <v>77</v>
      </c>
      <c r="C51" s="8" t="s">
        <v>37</v>
      </c>
      <c r="D51" s="9" t="n">
        <v>19</v>
      </c>
      <c r="E51" s="9" t="n">
        <v>22</v>
      </c>
      <c r="F51" s="9" t="n">
        <v>485</v>
      </c>
      <c r="G51" s="9" t="n">
        <v>455</v>
      </c>
      <c r="H51" s="9" t="n">
        <v>19</v>
      </c>
      <c r="I51" s="10" t="n">
        <v>78611</v>
      </c>
      <c r="J51" s="9" t="n">
        <v>5</v>
      </c>
      <c r="K51" s="8" t="s">
        <v>31</v>
      </c>
    </row>
    <row r="52" customFormat="false" ht="15" hidden="false" customHeight="false" outlineLevel="0" collapsed="false">
      <c r="A52" s="5" t="s">
        <v>47</v>
      </c>
      <c r="B52" s="5" t="s">
        <v>29</v>
      </c>
      <c r="C52" s="5" t="s">
        <v>43</v>
      </c>
      <c r="D52" s="6" t="n">
        <v>13</v>
      </c>
      <c r="E52" s="6" t="n">
        <v>21</v>
      </c>
      <c r="F52" s="6" t="n">
        <v>177</v>
      </c>
      <c r="G52" s="6" t="n">
        <v>172</v>
      </c>
      <c r="H52" s="6" t="n">
        <v>24</v>
      </c>
      <c r="I52" s="7" t="n">
        <v>66749</v>
      </c>
      <c r="J52" s="6" t="n">
        <v>16</v>
      </c>
      <c r="K52" s="5" t="s">
        <v>31</v>
      </c>
    </row>
    <row r="53" customFormat="false" ht="15" hidden="false" customHeight="false" outlineLevel="0" collapsed="false">
      <c r="A53" s="8" t="s">
        <v>87</v>
      </c>
      <c r="B53" s="8" t="s">
        <v>77</v>
      </c>
      <c r="C53" s="8" t="s">
        <v>43</v>
      </c>
      <c r="D53" s="9" t="n">
        <v>13</v>
      </c>
      <c r="E53" s="9" t="n">
        <v>22</v>
      </c>
      <c r="F53" s="9" t="n">
        <v>210</v>
      </c>
      <c r="G53" s="9" t="n">
        <v>218</v>
      </c>
      <c r="H53" s="9" t="n">
        <v>33</v>
      </c>
      <c r="I53" s="10" t="n">
        <v>70421</v>
      </c>
      <c r="J53" s="9" t="n">
        <v>17</v>
      </c>
      <c r="K53" s="8" t="s">
        <v>31</v>
      </c>
    </row>
    <row r="54" customFormat="false" ht="15" hidden="false" customHeight="false" outlineLevel="0" collapsed="false">
      <c r="A54" s="5" t="s">
        <v>88</v>
      </c>
      <c r="B54" s="5" t="s">
        <v>77</v>
      </c>
      <c r="C54" s="5" t="s">
        <v>43</v>
      </c>
      <c r="D54" s="6" t="n">
        <v>16</v>
      </c>
      <c r="E54" s="6" t="n">
        <v>22</v>
      </c>
      <c r="F54" s="6" t="n">
        <v>183</v>
      </c>
      <c r="G54" s="6" t="n">
        <v>167</v>
      </c>
      <c r="H54" s="6" t="n">
        <v>21</v>
      </c>
      <c r="I54" s="7" t="n">
        <v>73204</v>
      </c>
      <c r="J54" s="6" t="n">
        <v>13</v>
      </c>
      <c r="K54" s="5" t="s">
        <v>31</v>
      </c>
    </row>
    <row r="55" customFormat="false" ht="15" hidden="false" customHeight="false" outlineLevel="0" collapsed="false">
      <c r="A55" s="8" t="s">
        <v>89</v>
      </c>
      <c r="B55" s="8" t="s">
        <v>77</v>
      </c>
      <c r="C55" s="8" t="s">
        <v>43</v>
      </c>
      <c r="D55" s="9" t="n">
        <v>16</v>
      </c>
      <c r="E55" s="9" t="n">
        <v>22</v>
      </c>
      <c r="F55" s="9" t="n">
        <v>200</v>
      </c>
      <c r="G55" s="9" t="n">
        <v>197</v>
      </c>
      <c r="H55" s="9" t="n">
        <v>27</v>
      </c>
      <c r="I55" s="10" t="n">
        <v>71136</v>
      </c>
      <c r="J55" s="9" t="n">
        <v>13</v>
      </c>
      <c r="K55" s="8" t="s">
        <v>31</v>
      </c>
    </row>
    <row r="56" customFormat="false" ht="15" hidden="false" customHeight="false" outlineLevel="0" collapsed="false">
      <c r="A56" s="5" t="s">
        <v>90</v>
      </c>
      <c r="B56" s="5" t="s">
        <v>77</v>
      </c>
      <c r="C56" s="5" t="s">
        <v>43</v>
      </c>
      <c r="D56" s="6" t="n">
        <v>16</v>
      </c>
      <c r="E56" s="6" t="n">
        <v>22</v>
      </c>
      <c r="F56" s="6" t="n">
        <v>211</v>
      </c>
      <c r="G56" s="6" t="n">
        <v>222</v>
      </c>
      <c r="H56" s="6" t="n">
        <v>25</v>
      </c>
      <c r="I56" s="7" t="n">
        <v>63515</v>
      </c>
      <c r="J56" s="6" t="n">
        <v>25</v>
      </c>
      <c r="K56" s="5" t="s">
        <v>31</v>
      </c>
    </row>
    <row r="57" customFormat="false" ht="15" hidden="false" customHeight="false" outlineLevel="0" collapsed="false">
      <c r="A57" s="8" t="s">
        <v>91</v>
      </c>
      <c r="B57" s="8" t="s">
        <v>77</v>
      </c>
      <c r="C57" s="8" t="s">
        <v>43</v>
      </c>
      <c r="D57" s="9" t="n">
        <v>15</v>
      </c>
      <c r="E57" s="9" t="n">
        <v>22</v>
      </c>
      <c r="F57" s="9" t="n">
        <v>212</v>
      </c>
      <c r="G57" s="9" t="n">
        <v>205</v>
      </c>
      <c r="H57" s="9" t="n">
        <v>29</v>
      </c>
      <c r="I57" s="10" t="n">
        <v>71100</v>
      </c>
      <c r="J57" s="9" t="n">
        <v>20</v>
      </c>
      <c r="K57" s="8" t="s">
        <v>31</v>
      </c>
    </row>
    <row r="58" customFormat="false" ht="15" hidden="false" customHeight="false" outlineLevel="0" collapsed="false">
      <c r="A58" s="5" t="s">
        <v>92</v>
      </c>
      <c r="B58" s="5" t="s">
        <v>77</v>
      </c>
      <c r="C58" s="5" t="s">
        <v>49</v>
      </c>
      <c r="D58" s="6" t="n">
        <v>9</v>
      </c>
      <c r="E58" s="6" t="n">
        <v>22</v>
      </c>
      <c r="F58" s="6" t="n">
        <v>336</v>
      </c>
      <c r="G58" s="6" t="n">
        <v>334</v>
      </c>
      <c r="H58" s="6" t="n">
        <v>14</v>
      </c>
      <c r="I58" s="7" t="n">
        <v>43845</v>
      </c>
      <c r="J58" s="6" t="n">
        <v>2</v>
      </c>
      <c r="K58" s="5" t="s">
        <v>31</v>
      </c>
    </row>
    <row r="59" customFormat="false" ht="15" hidden="false" customHeight="false" outlineLevel="0" collapsed="false">
      <c r="A59" s="8" t="s">
        <v>93</v>
      </c>
      <c r="B59" s="8" t="s">
        <v>77</v>
      </c>
      <c r="C59" s="8" t="s">
        <v>49</v>
      </c>
      <c r="D59" s="9" t="n">
        <v>11</v>
      </c>
      <c r="E59" s="9" t="n">
        <v>22</v>
      </c>
      <c r="F59" s="9" t="n">
        <v>341</v>
      </c>
      <c r="G59" s="9" t="n">
        <v>359</v>
      </c>
      <c r="H59" s="9" t="n">
        <v>17</v>
      </c>
      <c r="I59" s="10" t="n">
        <v>41121</v>
      </c>
      <c r="J59" s="9" t="n">
        <v>2</v>
      </c>
      <c r="K59" s="8" t="s">
        <v>31</v>
      </c>
    </row>
    <row r="60" customFormat="false" ht="15" hidden="false" customHeight="false" outlineLevel="0" collapsed="false">
      <c r="A60" s="5" t="s">
        <v>94</v>
      </c>
      <c r="B60" s="5" t="s">
        <v>77</v>
      </c>
      <c r="C60" s="5" t="s">
        <v>49</v>
      </c>
      <c r="D60" s="6" t="n">
        <v>8</v>
      </c>
      <c r="E60" s="6" t="n">
        <v>22</v>
      </c>
      <c r="F60" s="6" t="n">
        <v>318</v>
      </c>
      <c r="G60" s="6" t="n">
        <v>299</v>
      </c>
      <c r="H60" s="6" t="n">
        <v>10</v>
      </c>
      <c r="I60" s="7" t="n">
        <v>42542</v>
      </c>
      <c r="J60" s="6" t="n">
        <v>2</v>
      </c>
      <c r="K60" s="5" t="s">
        <v>31</v>
      </c>
    </row>
    <row r="61" customFormat="false" ht="15" hidden="false" customHeight="false" outlineLevel="0" collapsed="false">
      <c r="A61" s="8" t="s">
        <v>95</v>
      </c>
      <c r="B61" s="8" t="s">
        <v>77</v>
      </c>
      <c r="C61" s="8" t="s">
        <v>49</v>
      </c>
      <c r="D61" s="9" t="n">
        <v>12</v>
      </c>
      <c r="E61" s="9" t="n">
        <v>22</v>
      </c>
      <c r="F61" s="9" t="n">
        <v>343</v>
      </c>
      <c r="G61" s="9" t="n">
        <v>349</v>
      </c>
      <c r="H61" s="9" t="n">
        <v>13</v>
      </c>
      <c r="I61" s="10" t="n">
        <v>41987</v>
      </c>
      <c r="J61" s="9" t="n">
        <v>3</v>
      </c>
      <c r="K61" s="8" t="s">
        <v>31</v>
      </c>
    </row>
    <row r="62" customFormat="false" ht="15" hidden="false" customHeight="false" outlineLevel="0" collapsed="false">
      <c r="A62" s="5" t="s">
        <v>96</v>
      </c>
      <c r="B62" s="5" t="s">
        <v>77</v>
      </c>
      <c r="C62" s="5" t="s">
        <v>49</v>
      </c>
      <c r="D62" s="6" t="n">
        <v>9</v>
      </c>
      <c r="E62" s="6" t="n">
        <v>22</v>
      </c>
      <c r="F62" s="6" t="n">
        <v>315</v>
      </c>
      <c r="G62" s="6" t="n">
        <v>310</v>
      </c>
      <c r="H62" s="6" t="n">
        <v>13</v>
      </c>
      <c r="I62" s="7" t="n">
        <v>42772</v>
      </c>
      <c r="J62" s="6" t="n">
        <v>3</v>
      </c>
      <c r="K62" s="5" t="s">
        <v>31</v>
      </c>
    </row>
    <row r="63" customFormat="false" ht="15" hidden="false" customHeight="false" outlineLevel="0" collapsed="false">
      <c r="A63" s="8" t="s">
        <v>97</v>
      </c>
      <c r="B63" s="8" t="s">
        <v>98</v>
      </c>
      <c r="C63" s="8" t="s">
        <v>30</v>
      </c>
      <c r="D63" s="9" t="n">
        <v>17</v>
      </c>
      <c r="E63" s="9" t="n">
        <v>22</v>
      </c>
      <c r="F63" s="9" t="n">
        <v>276</v>
      </c>
      <c r="G63" s="9" t="n">
        <v>260</v>
      </c>
      <c r="H63" s="9" t="n">
        <v>18</v>
      </c>
      <c r="I63" s="10" t="n">
        <v>60921</v>
      </c>
      <c r="J63" s="9" t="n">
        <v>10</v>
      </c>
      <c r="K63" s="8" t="s">
        <v>31</v>
      </c>
    </row>
    <row r="64" customFormat="false" ht="15" hidden="false" customHeight="false" outlineLevel="0" collapsed="false">
      <c r="A64" s="5" t="s">
        <v>99</v>
      </c>
      <c r="B64" s="5" t="s">
        <v>98</v>
      </c>
      <c r="C64" s="5" t="s">
        <v>30</v>
      </c>
      <c r="D64" s="6" t="n">
        <v>16</v>
      </c>
      <c r="E64" s="6" t="n">
        <v>22</v>
      </c>
      <c r="F64" s="6" t="n">
        <v>286</v>
      </c>
      <c r="G64" s="6" t="n">
        <v>256</v>
      </c>
      <c r="H64" s="6" t="n">
        <v>23</v>
      </c>
      <c r="I64" s="7" t="n">
        <v>57186</v>
      </c>
      <c r="J64" s="6" t="n">
        <v>8</v>
      </c>
      <c r="K64" s="5" t="s">
        <v>31</v>
      </c>
    </row>
    <row r="65" customFormat="false" ht="15" hidden="false" customHeight="false" outlineLevel="0" collapsed="false">
      <c r="A65" s="8" t="s">
        <v>100</v>
      </c>
      <c r="B65" s="8" t="s">
        <v>98</v>
      </c>
      <c r="C65" s="8" t="s">
        <v>30</v>
      </c>
      <c r="D65" s="9" t="n">
        <v>18</v>
      </c>
      <c r="E65" s="9" t="n">
        <v>22</v>
      </c>
      <c r="F65" s="9" t="n">
        <v>263</v>
      </c>
      <c r="G65" s="9" t="n">
        <v>271</v>
      </c>
      <c r="H65" s="9" t="n">
        <v>24</v>
      </c>
      <c r="I65" s="10" t="n">
        <v>58577</v>
      </c>
      <c r="J65" s="9" t="n">
        <v>7</v>
      </c>
      <c r="K65" s="8" t="s">
        <v>31</v>
      </c>
    </row>
    <row r="66" customFormat="false" ht="15" hidden="false" customHeight="false" outlineLevel="0" collapsed="false">
      <c r="A66" s="5" t="s">
        <v>101</v>
      </c>
      <c r="B66" s="5" t="s">
        <v>98</v>
      </c>
      <c r="C66" s="5" t="s">
        <v>30</v>
      </c>
      <c r="D66" s="6" t="n">
        <v>14</v>
      </c>
      <c r="E66" s="6" t="n">
        <v>22</v>
      </c>
      <c r="F66" s="6" t="n">
        <v>271</v>
      </c>
      <c r="G66" s="6" t="n">
        <v>257</v>
      </c>
      <c r="H66" s="6" t="n">
        <v>24</v>
      </c>
      <c r="I66" s="7" t="n">
        <v>61050</v>
      </c>
      <c r="J66" s="6" t="n">
        <v>8</v>
      </c>
      <c r="K66" s="5" t="s">
        <v>31</v>
      </c>
    </row>
    <row r="67" customFormat="false" ht="15" hidden="false" customHeight="false" outlineLevel="0" collapsed="false">
      <c r="A67" s="8" t="s">
        <v>102</v>
      </c>
      <c r="B67" s="8" t="s">
        <v>98</v>
      </c>
      <c r="C67" s="8" t="s">
        <v>30</v>
      </c>
      <c r="D67" s="9" t="n">
        <v>17</v>
      </c>
      <c r="E67" s="9" t="n">
        <v>22</v>
      </c>
      <c r="F67" s="9" t="n">
        <v>270</v>
      </c>
      <c r="G67" s="9" t="n">
        <v>258</v>
      </c>
      <c r="H67" s="9" t="n">
        <v>25</v>
      </c>
      <c r="I67" s="10" t="n">
        <v>58268</v>
      </c>
      <c r="J67" s="9" t="n">
        <v>11</v>
      </c>
      <c r="K67" s="8" t="s">
        <v>31</v>
      </c>
    </row>
    <row r="68" customFormat="false" ht="15" hidden="false" customHeight="false" outlineLevel="0" collapsed="false">
      <c r="A68" s="5" t="s">
        <v>103</v>
      </c>
      <c r="B68" s="5" t="s">
        <v>98</v>
      </c>
      <c r="C68" s="5" t="s">
        <v>37</v>
      </c>
      <c r="D68" s="6" t="n">
        <v>20</v>
      </c>
      <c r="E68" s="6" t="n">
        <v>22</v>
      </c>
      <c r="F68" s="6" t="n">
        <v>489</v>
      </c>
      <c r="G68" s="6" t="n">
        <v>439</v>
      </c>
      <c r="H68" s="6" t="n">
        <v>20</v>
      </c>
      <c r="I68" s="7" t="n">
        <v>75297</v>
      </c>
      <c r="J68" s="6" t="n">
        <v>7</v>
      </c>
      <c r="K68" s="5" t="s">
        <v>31</v>
      </c>
    </row>
    <row r="69" customFormat="false" ht="15" hidden="false" customHeight="false" outlineLevel="0" collapsed="false">
      <c r="A69" s="8" t="s">
        <v>104</v>
      </c>
      <c r="B69" s="8" t="s">
        <v>98</v>
      </c>
      <c r="C69" s="8" t="s">
        <v>37</v>
      </c>
      <c r="D69" s="9" t="n">
        <v>21</v>
      </c>
      <c r="E69" s="9" t="n">
        <v>22</v>
      </c>
      <c r="F69" s="9" t="n">
        <v>496</v>
      </c>
      <c r="G69" s="9" t="n">
        <v>474</v>
      </c>
      <c r="H69" s="9" t="n">
        <v>28</v>
      </c>
      <c r="I69" s="10" t="n">
        <v>76890</v>
      </c>
      <c r="J69" s="9" t="n">
        <v>9</v>
      </c>
      <c r="K69" s="8" t="s">
        <v>31</v>
      </c>
    </row>
    <row r="70" customFormat="false" ht="15" hidden="false" customHeight="false" outlineLevel="0" collapsed="false">
      <c r="A70" s="5" t="s">
        <v>105</v>
      </c>
      <c r="B70" s="5" t="s">
        <v>98</v>
      </c>
      <c r="C70" s="5" t="s">
        <v>37</v>
      </c>
      <c r="D70" s="6" t="n">
        <v>23</v>
      </c>
      <c r="E70" s="6" t="n">
        <v>22</v>
      </c>
      <c r="F70" s="6" t="n">
        <v>504</v>
      </c>
      <c r="G70" s="6" t="n">
        <v>525</v>
      </c>
      <c r="H70" s="6" t="n">
        <v>32</v>
      </c>
      <c r="I70" s="7" t="n">
        <v>77246</v>
      </c>
      <c r="J70" s="6" t="n">
        <v>8</v>
      </c>
      <c r="K70" s="5" t="s">
        <v>31</v>
      </c>
    </row>
    <row r="71" customFormat="false" ht="15" hidden="false" customHeight="false" outlineLevel="0" collapsed="false">
      <c r="A71" s="8" t="s">
        <v>106</v>
      </c>
      <c r="B71" s="8" t="s">
        <v>98</v>
      </c>
      <c r="C71" s="8" t="s">
        <v>37</v>
      </c>
      <c r="D71" s="9" t="n">
        <v>19</v>
      </c>
      <c r="E71" s="9" t="n">
        <v>22</v>
      </c>
      <c r="F71" s="9" t="n">
        <v>490</v>
      </c>
      <c r="G71" s="9" t="n">
        <v>466</v>
      </c>
      <c r="H71" s="9" t="n">
        <v>27</v>
      </c>
      <c r="I71" s="10" t="n">
        <v>76786</v>
      </c>
      <c r="J71" s="9" t="n">
        <v>7</v>
      </c>
      <c r="K71" s="8" t="s">
        <v>31</v>
      </c>
    </row>
    <row r="72" customFormat="false" ht="15" hidden="false" customHeight="false" outlineLevel="0" collapsed="false">
      <c r="A72" s="5" t="s">
        <v>107</v>
      </c>
      <c r="B72" s="5" t="s">
        <v>98</v>
      </c>
      <c r="C72" s="5" t="s">
        <v>37</v>
      </c>
      <c r="D72" s="6" t="n">
        <v>22</v>
      </c>
      <c r="E72" s="6" t="n">
        <v>22</v>
      </c>
      <c r="F72" s="6" t="n">
        <v>502</v>
      </c>
      <c r="G72" s="6" t="n">
        <v>457</v>
      </c>
      <c r="H72" s="6" t="n">
        <v>26</v>
      </c>
      <c r="I72" s="7" t="n">
        <v>73097</v>
      </c>
      <c r="J72" s="6" t="n">
        <v>8</v>
      </c>
      <c r="K72" s="5" t="s">
        <v>31</v>
      </c>
    </row>
    <row r="73" customFormat="false" ht="15" hidden="false" customHeight="false" outlineLevel="0" collapsed="false">
      <c r="A73" s="8" t="s">
        <v>108</v>
      </c>
      <c r="B73" s="8" t="s">
        <v>98</v>
      </c>
      <c r="C73" s="8" t="s">
        <v>43</v>
      </c>
      <c r="D73" s="9" t="n">
        <v>12</v>
      </c>
      <c r="E73" s="9" t="n">
        <v>22</v>
      </c>
      <c r="F73" s="9" t="n">
        <v>188</v>
      </c>
      <c r="G73" s="9" t="n">
        <v>192</v>
      </c>
      <c r="H73" s="9" t="n">
        <v>27</v>
      </c>
      <c r="I73" s="10" t="n">
        <v>69095</v>
      </c>
      <c r="J73" s="9" t="n">
        <v>16</v>
      </c>
      <c r="K73" s="8" t="s">
        <v>31</v>
      </c>
    </row>
    <row r="74" customFormat="false" ht="15" hidden="false" customHeight="false" outlineLevel="0" collapsed="false">
      <c r="A74" s="5" t="s">
        <v>109</v>
      </c>
      <c r="B74" s="5" t="s">
        <v>98</v>
      </c>
      <c r="C74" s="5" t="s">
        <v>43</v>
      </c>
      <c r="D74" s="6" t="n">
        <v>14</v>
      </c>
      <c r="E74" s="6" t="n">
        <v>22</v>
      </c>
      <c r="F74" s="6" t="n">
        <v>194</v>
      </c>
      <c r="G74" s="6" t="n">
        <v>185</v>
      </c>
      <c r="H74" s="6" t="n">
        <v>26</v>
      </c>
      <c r="I74" s="7" t="n">
        <v>70968</v>
      </c>
      <c r="J74" s="6" t="n">
        <v>12</v>
      </c>
      <c r="K74" s="5" t="s">
        <v>31</v>
      </c>
    </row>
    <row r="75" customFormat="false" ht="15" hidden="false" customHeight="false" outlineLevel="0" collapsed="false">
      <c r="A75" s="8" t="s">
        <v>110</v>
      </c>
      <c r="B75" s="8" t="s">
        <v>98</v>
      </c>
      <c r="C75" s="8" t="s">
        <v>43</v>
      </c>
      <c r="D75" s="9" t="n">
        <v>15</v>
      </c>
      <c r="E75" s="9" t="n">
        <v>22</v>
      </c>
      <c r="F75" s="9" t="n">
        <v>192</v>
      </c>
      <c r="G75" s="9" t="n">
        <v>188</v>
      </c>
      <c r="H75" s="9" t="n">
        <v>29</v>
      </c>
      <c r="I75" s="10" t="n">
        <v>69346</v>
      </c>
      <c r="J75" s="9" t="n">
        <v>17</v>
      </c>
      <c r="K75" s="8" t="s">
        <v>31</v>
      </c>
    </row>
    <row r="76" customFormat="false" ht="15" hidden="false" customHeight="false" outlineLevel="0" collapsed="false">
      <c r="A76" s="5" t="s">
        <v>111</v>
      </c>
      <c r="B76" s="5" t="s">
        <v>98</v>
      </c>
      <c r="C76" s="5" t="s">
        <v>43</v>
      </c>
      <c r="D76" s="6" t="n">
        <v>12</v>
      </c>
      <c r="E76" s="6" t="n">
        <v>22</v>
      </c>
      <c r="F76" s="6" t="n">
        <v>209</v>
      </c>
      <c r="G76" s="6" t="n">
        <v>199</v>
      </c>
      <c r="H76" s="6" t="n">
        <v>34</v>
      </c>
      <c r="I76" s="7" t="n">
        <v>71879</v>
      </c>
      <c r="J76" s="6" t="n">
        <v>12</v>
      </c>
      <c r="K76" s="5" t="s">
        <v>31</v>
      </c>
    </row>
    <row r="77" customFormat="false" ht="15" hidden="false" customHeight="false" outlineLevel="0" collapsed="false">
      <c r="A77" s="8" t="s">
        <v>112</v>
      </c>
      <c r="B77" s="8" t="s">
        <v>98</v>
      </c>
      <c r="C77" s="8" t="s">
        <v>43</v>
      </c>
      <c r="D77" s="9" t="n">
        <v>16</v>
      </c>
      <c r="E77" s="9" t="n">
        <v>22</v>
      </c>
      <c r="F77" s="9" t="n">
        <v>205</v>
      </c>
      <c r="G77" s="9" t="n">
        <v>197</v>
      </c>
      <c r="H77" s="9" t="n">
        <v>30</v>
      </c>
      <c r="I77" s="10" t="n">
        <v>71539</v>
      </c>
      <c r="J77" s="9" t="n">
        <v>13</v>
      </c>
      <c r="K77" s="8" t="s">
        <v>31</v>
      </c>
    </row>
    <row r="78" customFormat="false" ht="15" hidden="false" customHeight="false" outlineLevel="0" collapsed="false">
      <c r="A78" s="5" t="s">
        <v>113</v>
      </c>
      <c r="B78" s="5" t="s">
        <v>98</v>
      </c>
      <c r="C78" s="5" t="s">
        <v>49</v>
      </c>
      <c r="D78" s="6" t="n">
        <v>8</v>
      </c>
      <c r="E78" s="6" t="n">
        <v>22</v>
      </c>
      <c r="F78" s="6" t="n">
        <v>332</v>
      </c>
      <c r="G78" s="6" t="n">
        <v>310</v>
      </c>
      <c r="H78" s="6" t="n">
        <v>14</v>
      </c>
      <c r="I78" s="7" t="n">
        <v>46557</v>
      </c>
      <c r="J78" s="6" t="n">
        <v>3</v>
      </c>
      <c r="K78" s="5" t="s">
        <v>31</v>
      </c>
    </row>
    <row r="79" customFormat="false" ht="15" hidden="false" customHeight="false" outlineLevel="0" collapsed="false">
      <c r="A79" s="8" t="s">
        <v>114</v>
      </c>
      <c r="B79" s="8" t="s">
        <v>98</v>
      </c>
      <c r="C79" s="8" t="s">
        <v>49</v>
      </c>
      <c r="D79" s="9" t="n">
        <v>9</v>
      </c>
      <c r="E79" s="9" t="n">
        <v>22</v>
      </c>
      <c r="F79" s="9" t="n">
        <v>350</v>
      </c>
      <c r="G79" s="9" t="n">
        <v>337</v>
      </c>
      <c r="H79" s="9" t="n">
        <v>11</v>
      </c>
      <c r="I79" s="10" t="n">
        <v>43717</v>
      </c>
      <c r="J79" s="9" t="n">
        <v>2</v>
      </c>
      <c r="K79" s="8" t="s">
        <v>31</v>
      </c>
    </row>
    <row r="80" customFormat="false" ht="15" hidden="false" customHeight="false" outlineLevel="0" collapsed="false">
      <c r="A80" s="5" t="s">
        <v>115</v>
      </c>
      <c r="B80" s="5" t="s">
        <v>98</v>
      </c>
      <c r="C80" s="5" t="s">
        <v>49</v>
      </c>
      <c r="D80" s="6" t="n">
        <v>9</v>
      </c>
      <c r="E80" s="6" t="n">
        <v>22</v>
      </c>
      <c r="F80" s="6" t="n">
        <v>346</v>
      </c>
      <c r="G80" s="6" t="n">
        <v>318</v>
      </c>
      <c r="H80" s="6" t="n">
        <v>11</v>
      </c>
      <c r="I80" s="7" t="n">
        <v>46642</v>
      </c>
      <c r="J80" s="6" t="n">
        <v>2</v>
      </c>
      <c r="K80" s="5" t="s">
        <v>31</v>
      </c>
    </row>
    <row r="81" customFormat="false" ht="15" hidden="false" customHeight="false" outlineLevel="0" collapsed="false">
      <c r="A81" s="8" t="s">
        <v>116</v>
      </c>
      <c r="B81" s="8" t="s">
        <v>98</v>
      </c>
      <c r="C81" s="8" t="s">
        <v>49</v>
      </c>
      <c r="D81" s="9" t="n">
        <v>12</v>
      </c>
      <c r="E81" s="9" t="n">
        <v>22</v>
      </c>
      <c r="F81" s="9" t="n">
        <v>345</v>
      </c>
      <c r="G81" s="9" t="n">
        <v>339</v>
      </c>
      <c r="H81" s="9" t="n">
        <v>12</v>
      </c>
      <c r="I81" s="10" t="n">
        <v>47025</v>
      </c>
      <c r="J81" s="9" t="n">
        <v>3</v>
      </c>
      <c r="K81" s="8" t="s">
        <v>31</v>
      </c>
    </row>
    <row r="82" customFormat="false" ht="15" hidden="false" customHeight="false" outlineLevel="0" collapsed="false">
      <c r="A82" s="5" t="s">
        <v>117</v>
      </c>
      <c r="B82" s="5" t="s">
        <v>98</v>
      </c>
      <c r="C82" s="5" t="s">
        <v>49</v>
      </c>
      <c r="D82" s="6" t="n">
        <v>11</v>
      </c>
      <c r="E82" s="6" t="n">
        <v>22</v>
      </c>
      <c r="F82" s="6" t="n">
        <v>347</v>
      </c>
      <c r="G82" s="6" t="n">
        <v>334</v>
      </c>
      <c r="H82" s="6" t="n">
        <v>14</v>
      </c>
      <c r="I82" s="7" t="n">
        <v>45386</v>
      </c>
      <c r="J82" s="6" t="n">
        <v>3</v>
      </c>
      <c r="K82" s="5" t="s">
        <v>31</v>
      </c>
    </row>
    <row r="83" customFormat="false" ht="15" hidden="false" customHeight="false" outlineLevel="0" collapsed="false">
      <c r="A83" s="8" t="s">
        <v>118</v>
      </c>
      <c r="B83" s="8" t="s">
        <v>119</v>
      </c>
      <c r="C83" s="8" t="s">
        <v>30</v>
      </c>
      <c r="D83" s="9" t="n">
        <v>15</v>
      </c>
      <c r="E83" s="9" t="n">
        <v>22</v>
      </c>
      <c r="F83" s="9" t="n">
        <v>286</v>
      </c>
      <c r="G83" s="9" t="n">
        <v>276</v>
      </c>
      <c r="H83" s="9" t="n">
        <v>25</v>
      </c>
      <c r="I83" s="10" t="n">
        <v>59967</v>
      </c>
      <c r="J83" s="9" t="n">
        <v>12</v>
      </c>
      <c r="K83" s="8" t="s">
        <v>31</v>
      </c>
    </row>
    <row r="84" customFormat="false" ht="15" hidden="false" customHeight="false" outlineLevel="0" collapsed="false">
      <c r="A84" s="5" t="s">
        <v>120</v>
      </c>
      <c r="B84" s="5" t="s">
        <v>119</v>
      </c>
      <c r="C84" s="5" t="s">
        <v>30</v>
      </c>
      <c r="D84" s="6" t="n">
        <v>14</v>
      </c>
      <c r="E84" s="6" t="n">
        <v>22</v>
      </c>
      <c r="F84" s="6" t="n">
        <v>267</v>
      </c>
      <c r="G84" s="6" t="n">
        <v>240</v>
      </c>
      <c r="H84" s="6" t="n">
        <v>23</v>
      </c>
      <c r="I84" s="7" t="n">
        <v>62936</v>
      </c>
      <c r="J84" s="6" t="n">
        <v>10</v>
      </c>
      <c r="K84" s="5" t="s">
        <v>31</v>
      </c>
    </row>
    <row r="85" customFormat="false" ht="15" hidden="false" customHeight="false" outlineLevel="0" collapsed="false">
      <c r="A85" s="8" t="s">
        <v>121</v>
      </c>
      <c r="B85" s="8" t="s">
        <v>119</v>
      </c>
      <c r="C85" s="8" t="s">
        <v>30</v>
      </c>
      <c r="D85" s="9" t="n">
        <v>18</v>
      </c>
      <c r="E85" s="9" t="n">
        <v>22</v>
      </c>
      <c r="F85" s="9" t="n">
        <v>289</v>
      </c>
      <c r="G85" s="9" t="n">
        <v>251</v>
      </c>
      <c r="H85" s="9" t="n">
        <v>18</v>
      </c>
      <c r="I85" s="10" t="n">
        <v>58844</v>
      </c>
      <c r="J85" s="9" t="n">
        <v>6</v>
      </c>
      <c r="K85" s="8" t="s">
        <v>31</v>
      </c>
    </row>
    <row r="86" customFormat="false" ht="15" hidden="false" customHeight="false" outlineLevel="0" collapsed="false">
      <c r="A86" s="5" t="s">
        <v>122</v>
      </c>
      <c r="B86" s="5" t="s">
        <v>119</v>
      </c>
      <c r="C86" s="5" t="s">
        <v>30</v>
      </c>
      <c r="D86" s="6" t="n">
        <v>17</v>
      </c>
      <c r="E86" s="6" t="n">
        <v>22</v>
      </c>
      <c r="F86" s="6" t="n">
        <v>273</v>
      </c>
      <c r="G86" s="6" t="n">
        <v>282</v>
      </c>
      <c r="H86" s="6" t="n">
        <v>27</v>
      </c>
      <c r="I86" s="7" t="n">
        <v>60888</v>
      </c>
      <c r="J86" s="6" t="n">
        <v>10</v>
      </c>
      <c r="K86" s="5" t="s">
        <v>31</v>
      </c>
    </row>
    <row r="87" customFormat="false" ht="15" hidden="false" customHeight="false" outlineLevel="0" collapsed="false">
      <c r="A87" s="8" t="s">
        <v>123</v>
      </c>
      <c r="B87" s="8" t="s">
        <v>119</v>
      </c>
      <c r="C87" s="8" t="s">
        <v>30</v>
      </c>
      <c r="D87" s="9" t="n">
        <v>18</v>
      </c>
      <c r="E87" s="9" t="n">
        <v>22</v>
      </c>
      <c r="F87" s="9" t="n">
        <v>266</v>
      </c>
      <c r="G87" s="9" t="n">
        <v>253</v>
      </c>
      <c r="H87" s="9" t="n">
        <v>20</v>
      </c>
      <c r="I87" s="10" t="n">
        <v>61610</v>
      </c>
      <c r="J87" s="9" t="n">
        <v>6</v>
      </c>
      <c r="K87" s="8" t="s">
        <v>31</v>
      </c>
    </row>
    <row r="88" customFormat="false" ht="15" hidden="false" customHeight="false" outlineLevel="0" collapsed="false">
      <c r="A88" s="5" t="s">
        <v>124</v>
      </c>
      <c r="B88" s="5" t="s">
        <v>119</v>
      </c>
      <c r="C88" s="5" t="s">
        <v>37</v>
      </c>
      <c r="D88" s="6" t="n">
        <v>20</v>
      </c>
      <c r="E88" s="6" t="n">
        <v>22</v>
      </c>
      <c r="F88" s="6" t="n">
        <v>497</v>
      </c>
      <c r="G88" s="6" t="n">
        <v>488</v>
      </c>
      <c r="H88" s="6" t="n">
        <v>27</v>
      </c>
      <c r="I88" s="7" t="n">
        <v>77158</v>
      </c>
      <c r="J88" s="6" t="n">
        <v>5</v>
      </c>
      <c r="K88" s="5" t="s">
        <v>31</v>
      </c>
    </row>
    <row r="89" customFormat="false" ht="15" hidden="false" customHeight="false" outlineLevel="0" collapsed="false">
      <c r="A89" s="8" t="s">
        <v>125</v>
      </c>
      <c r="B89" s="8" t="s">
        <v>119</v>
      </c>
      <c r="C89" s="8" t="s">
        <v>37</v>
      </c>
      <c r="D89" s="9" t="n">
        <v>24</v>
      </c>
      <c r="E89" s="9" t="n">
        <v>22</v>
      </c>
      <c r="F89" s="9" t="n">
        <v>492</v>
      </c>
      <c r="G89" s="9" t="n">
        <v>477</v>
      </c>
      <c r="H89" s="9" t="n">
        <v>24</v>
      </c>
      <c r="I89" s="10" t="n">
        <v>76766</v>
      </c>
      <c r="J89" s="9" t="n">
        <v>8</v>
      </c>
      <c r="K89" s="8" t="s">
        <v>31</v>
      </c>
    </row>
    <row r="90" customFormat="false" ht="15" hidden="false" customHeight="false" outlineLevel="0" collapsed="false">
      <c r="A90" s="5" t="s">
        <v>126</v>
      </c>
      <c r="B90" s="5" t="s">
        <v>119</v>
      </c>
      <c r="C90" s="5" t="s">
        <v>37</v>
      </c>
      <c r="D90" s="6" t="n">
        <v>19</v>
      </c>
      <c r="E90" s="6" t="n">
        <v>22</v>
      </c>
      <c r="F90" s="6" t="n">
        <v>496</v>
      </c>
      <c r="G90" s="6" t="n">
        <v>469</v>
      </c>
      <c r="H90" s="6" t="n">
        <v>23</v>
      </c>
      <c r="I90" s="7" t="n">
        <v>83683</v>
      </c>
      <c r="J90" s="6" t="n">
        <v>8</v>
      </c>
      <c r="K90" s="5" t="s">
        <v>31</v>
      </c>
    </row>
    <row r="91" customFormat="false" ht="15" hidden="false" customHeight="false" outlineLevel="0" collapsed="false">
      <c r="A91" s="8" t="s">
        <v>127</v>
      </c>
      <c r="B91" s="8" t="s">
        <v>119</v>
      </c>
      <c r="C91" s="8" t="s">
        <v>37</v>
      </c>
      <c r="D91" s="9" t="n">
        <v>23</v>
      </c>
      <c r="E91" s="9" t="n">
        <v>22</v>
      </c>
      <c r="F91" s="9" t="n">
        <v>486</v>
      </c>
      <c r="G91" s="9" t="n">
        <v>475</v>
      </c>
      <c r="H91" s="9" t="n">
        <v>25</v>
      </c>
      <c r="I91" s="10" t="n">
        <v>77875</v>
      </c>
      <c r="J91" s="9" t="n">
        <v>7</v>
      </c>
      <c r="K91" s="8" t="s">
        <v>31</v>
      </c>
    </row>
    <row r="92" customFormat="false" ht="15" hidden="false" customHeight="false" outlineLevel="0" collapsed="false">
      <c r="A92" s="5" t="s">
        <v>128</v>
      </c>
      <c r="B92" s="5" t="s">
        <v>119</v>
      </c>
      <c r="C92" s="5" t="s">
        <v>37</v>
      </c>
      <c r="D92" s="6" t="n">
        <v>24</v>
      </c>
      <c r="E92" s="6" t="n">
        <v>22</v>
      </c>
      <c r="F92" s="6" t="n">
        <v>511</v>
      </c>
      <c r="G92" s="6" t="n">
        <v>500</v>
      </c>
      <c r="H92" s="6" t="n">
        <v>26</v>
      </c>
      <c r="I92" s="7" t="n">
        <v>76701</v>
      </c>
      <c r="J92" s="6" t="n">
        <v>7</v>
      </c>
      <c r="K92" s="5" t="s">
        <v>31</v>
      </c>
    </row>
    <row r="93" customFormat="false" ht="15" hidden="false" customHeight="false" outlineLevel="0" collapsed="false">
      <c r="A93" s="8" t="s">
        <v>129</v>
      </c>
      <c r="B93" s="8" t="s">
        <v>119</v>
      </c>
      <c r="C93" s="8" t="s">
        <v>43</v>
      </c>
      <c r="D93" s="9" t="n">
        <v>15</v>
      </c>
      <c r="E93" s="9" t="n">
        <v>22</v>
      </c>
      <c r="F93" s="9" t="n">
        <v>218</v>
      </c>
      <c r="G93" s="9" t="n">
        <v>220</v>
      </c>
      <c r="H93" s="9" t="n">
        <v>37</v>
      </c>
      <c r="I93" s="10" t="n">
        <v>72981</v>
      </c>
      <c r="J93" s="9" t="n">
        <v>15</v>
      </c>
      <c r="K93" s="8" t="s">
        <v>31</v>
      </c>
    </row>
    <row r="94" customFormat="false" ht="15" hidden="false" customHeight="false" outlineLevel="0" collapsed="false">
      <c r="A94" s="5" t="s">
        <v>130</v>
      </c>
      <c r="B94" s="5" t="s">
        <v>119</v>
      </c>
      <c r="C94" s="5" t="s">
        <v>43</v>
      </c>
      <c r="D94" s="6" t="n">
        <v>12</v>
      </c>
      <c r="E94" s="6" t="n">
        <v>22</v>
      </c>
      <c r="F94" s="6" t="n">
        <v>198</v>
      </c>
      <c r="G94" s="6" t="n">
        <v>193</v>
      </c>
      <c r="H94" s="6" t="n">
        <v>25</v>
      </c>
      <c r="I94" s="7" t="n">
        <v>71349</v>
      </c>
      <c r="J94" s="6" t="n">
        <v>14</v>
      </c>
      <c r="K94" s="5" t="s">
        <v>31</v>
      </c>
    </row>
    <row r="95" customFormat="false" ht="15" hidden="false" customHeight="false" outlineLevel="0" collapsed="false">
      <c r="A95" s="8" t="s">
        <v>131</v>
      </c>
      <c r="B95" s="8" t="s">
        <v>119</v>
      </c>
      <c r="C95" s="8" t="s">
        <v>43</v>
      </c>
      <c r="D95" s="9" t="n">
        <v>14</v>
      </c>
      <c r="E95" s="9" t="n">
        <v>22</v>
      </c>
      <c r="F95" s="9" t="n">
        <v>199</v>
      </c>
      <c r="G95" s="9" t="n">
        <v>195</v>
      </c>
      <c r="H95" s="9" t="n">
        <v>24</v>
      </c>
      <c r="I95" s="10" t="n">
        <v>70428</v>
      </c>
      <c r="J95" s="9" t="n">
        <v>15</v>
      </c>
      <c r="K95" s="8" t="s">
        <v>31</v>
      </c>
    </row>
    <row r="96" customFormat="false" ht="15" hidden="false" customHeight="false" outlineLevel="0" collapsed="false">
      <c r="A96" s="5" t="s">
        <v>132</v>
      </c>
      <c r="B96" s="5" t="s">
        <v>119</v>
      </c>
      <c r="C96" s="5" t="s">
        <v>43</v>
      </c>
      <c r="D96" s="6" t="n">
        <v>14</v>
      </c>
      <c r="E96" s="6" t="n">
        <v>22</v>
      </c>
      <c r="F96" s="6" t="n">
        <v>220</v>
      </c>
      <c r="G96" s="6" t="n">
        <v>231</v>
      </c>
      <c r="H96" s="6" t="n">
        <v>28</v>
      </c>
      <c r="I96" s="7" t="n">
        <v>71675</v>
      </c>
      <c r="J96" s="6" t="n">
        <v>16</v>
      </c>
      <c r="K96" s="5" t="s">
        <v>31</v>
      </c>
    </row>
    <row r="97" customFormat="false" ht="15" hidden="false" customHeight="false" outlineLevel="0" collapsed="false">
      <c r="A97" s="8" t="s">
        <v>133</v>
      </c>
      <c r="B97" s="8" t="s">
        <v>119</v>
      </c>
      <c r="C97" s="8" t="s">
        <v>43</v>
      </c>
      <c r="D97" s="9" t="n">
        <v>14</v>
      </c>
      <c r="E97" s="9" t="n">
        <v>22</v>
      </c>
      <c r="F97" s="9" t="n">
        <v>209</v>
      </c>
      <c r="G97" s="9" t="n">
        <v>198</v>
      </c>
      <c r="H97" s="9" t="n">
        <v>24</v>
      </c>
      <c r="I97" s="10" t="n">
        <v>70724</v>
      </c>
      <c r="J97" s="9" t="n">
        <v>13</v>
      </c>
      <c r="K97" s="8" t="s">
        <v>31</v>
      </c>
    </row>
    <row r="98" customFormat="false" ht="15" hidden="false" customHeight="false" outlineLevel="0" collapsed="false">
      <c r="A98" s="5" t="s">
        <v>134</v>
      </c>
      <c r="B98" s="5" t="s">
        <v>119</v>
      </c>
      <c r="C98" s="5" t="s">
        <v>49</v>
      </c>
      <c r="D98" s="6" t="n">
        <v>8</v>
      </c>
      <c r="E98" s="6" t="n">
        <v>22</v>
      </c>
      <c r="F98" s="6" t="n">
        <v>329</v>
      </c>
      <c r="G98" s="6" t="n">
        <v>300</v>
      </c>
      <c r="H98" s="6" t="n">
        <v>11</v>
      </c>
      <c r="I98" s="7" t="n">
        <v>45099</v>
      </c>
      <c r="J98" s="6" t="n">
        <v>2</v>
      </c>
      <c r="K98" s="5" t="s">
        <v>31</v>
      </c>
    </row>
    <row r="99" customFormat="false" ht="15" hidden="false" customHeight="false" outlineLevel="0" collapsed="false">
      <c r="A99" s="8" t="s">
        <v>135</v>
      </c>
      <c r="B99" s="8" t="s">
        <v>119</v>
      </c>
      <c r="C99" s="8" t="s">
        <v>49</v>
      </c>
      <c r="D99" s="9" t="n">
        <v>12</v>
      </c>
      <c r="E99" s="9" t="n">
        <v>22</v>
      </c>
      <c r="F99" s="9" t="n">
        <v>351</v>
      </c>
      <c r="G99" s="9" t="n">
        <v>330</v>
      </c>
      <c r="H99" s="9" t="n">
        <v>15</v>
      </c>
      <c r="I99" s="10" t="n">
        <v>45651</v>
      </c>
      <c r="J99" s="9" t="n">
        <v>3</v>
      </c>
      <c r="K99" s="8" t="s">
        <v>31</v>
      </c>
    </row>
    <row r="100" customFormat="false" ht="15" hidden="false" customHeight="false" outlineLevel="0" collapsed="false">
      <c r="A100" s="5" t="s">
        <v>136</v>
      </c>
      <c r="B100" s="5" t="s">
        <v>119</v>
      </c>
      <c r="C100" s="5" t="s">
        <v>49</v>
      </c>
      <c r="D100" s="6" t="n">
        <v>12</v>
      </c>
      <c r="E100" s="6" t="n">
        <v>22</v>
      </c>
      <c r="F100" s="6" t="n">
        <v>341</v>
      </c>
      <c r="G100" s="6" t="n">
        <v>342</v>
      </c>
      <c r="H100" s="6" t="n">
        <v>15</v>
      </c>
      <c r="I100" s="7" t="n">
        <v>44515</v>
      </c>
      <c r="J100" s="6" t="n">
        <v>2</v>
      </c>
      <c r="K100" s="5" t="s">
        <v>31</v>
      </c>
    </row>
    <row r="101" customFormat="false" ht="15" hidden="false" customHeight="false" outlineLevel="0" collapsed="false">
      <c r="A101" s="8" t="s">
        <v>137</v>
      </c>
      <c r="B101" s="8" t="s">
        <v>119</v>
      </c>
      <c r="C101" s="8" t="s">
        <v>49</v>
      </c>
      <c r="D101" s="9" t="n">
        <v>9</v>
      </c>
      <c r="E101" s="9" t="n">
        <v>22</v>
      </c>
      <c r="F101" s="9" t="n">
        <v>352</v>
      </c>
      <c r="G101" s="9" t="n">
        <v>332</v>
      </c>
      <c r="H101" s="9" t="n">
        <v>15</v>
      </c>
      <c r="I101" s="10" t="n">
        <v>42376</v>
      </c>
      <c r="J101" s="9" t="n">
        <v>1</v>
      </c>
      <c r="K101" s="8" t="s">
        <v>31</v>
      </c>
    </row>
    <row r="102" customFormat="false" ht="15" hidden="false" customHeight="false" outlineLevel="0" collapsed="false">
      <c r="A102" s="5" t="s">
        <v>138</v>
      </c>
      <c r="B102" s="5" t="s">
        <v>119</v>
      </c>
      <c r="C102" s="5" t="s">
        <v>49</v>
      </c>
      <c r="D102" s="6" t="n">
        <v>10</v>
      </c>
      <c r="E102" s="6" t="n">
        <v>22</v>
      </c>
      <c r="F102" s="6" t="n">
        <v>331</v>
      </c>
      <c r="G102" s="6" t="n">
        <v>332</v>
      </c>
      <c r="H102" s="6" t="n">
        <v>15</v>
      </c>
      <c r="I102" s="7" t="n">
        <v>46000</v>
      </c>
      <c r="J102" s="6" t="n">
        <v>1</v>
      </c>
      <c r="K102" s="5" t="s">
        <v>31</v>
      </c>
    </row>
    <row r="103" customFormat="false" ht="15" hidden="false" customHeight="false" outlineLevel="0" collapsed="false">
      <c r="A103" s="8" t="s">
        <v>139</v>
      </c>
      <c r="B103" s="8" t="s">
        <v>140</v>
      </c>
      <c r="C103" s="8" t="s">
        <v>30</v>
      </c>
      <c r="D103" s="9" t="n">
        <v>15</v>
      </c>
      <c r="E103" s="9" t="n">
        <v>22</v>
      </c>
      <c r="F103" s="9" t="n">
        <v>294</v>
      </c>
      <c r="G103" s="9" t="n">
        <v>274</v>
      </c>
      <c r="H103" s="9" t="n">
        <v>24</v>
      </c>
      <c r="I103" s="10" t="n">
        <v>61180</v>
      </c>
      <c r="J103" s="9" t="n">
        <v>7</v>
      </c>
      <c r="K103" s="8" t="s">
        <v>31</v>
      </c>
    </row>
    <row r="104" customFormat="false" ht="15" hidden="false" customHeight="false" outlineLevel="0" collapsed="false">
      <c r="A104" s="5" t="s">
        <v>141</v>
      </c>
      <c r="B104" s="5" t="s">
        <v>140</v>
      </c>
      <c r="C104" s="5" t="s">
        <v>30</v>
      </c>
      <c r="D104" s="6" t="n">
        <v>14</v>
      </c>
      <c r="E104" s="6" t="n">
        <v>22</v>
      </c>
      <c r="F104" s="6" t="n">
        <v>276</v>
      </c>
      <c r="G104" s="6" t="n">
        <v>260</v>
      </c>
      <c r="H104" s="6" t="n">
        <v>17</v>
      </c>
      <c r="I104" s="7" t="n">
        <v>59601</v>
      </c>
      <c r="J104" s="6" t="n">
        <v>11</v>
      </c>
      <c r="K104" s="5" t="s">
        <v>31</v>
      </c>
    </row>
    <row r="105" customFormat="false" ht="15" hidden="false" customHeight="false" outlineLevel="0" collapsed="false">
      <c r="A105" s="8" t="s">
        <v>142</v>
      </c>
      <c r="B105" s="8" t="s">
        <v>140</v>
      </c>
      <c r="C105" s="8" t="s">
        <v>30</v>
      </c>
      <c r="D105" s="9" t="n">
        <v>17</v>
      </c>
      <c r="E105" s="9" t="n">
        <v>22</v>
      </c>
      <c r="F105" s="9" t="n">
        <v>284</v>
      </c>
      <c r="G105" s="9" t="n">
        <v>287</v>
      </c>
      <c r="H105" s="9" t="n">
        <v>23</v>
      </c>
      <c r="I105" s="10" t="n">
        <v>62807</v>
      </c>
      <c r="J105" s="9" t="n">
        <v>7</v>
      </c>
      <c r="K105" s="8" t="s">
        <v>31</v>
      </c>
    </row>
    <row r="106" customFormat="false" ht="15" hidden="false" customHeight="false" outlineLevel="0" collapsed="false">
      <c r="A106" s="5" t="s">
        <v>143</v>
      </c>
      <c r="B106" s="5" t="s">
        <v>140</v>
      </c>
      <c r="C106" s="5" t="s">
        <v>30</v>
      </c>
      <c r="D106" s="6" t="n">
        <v>15</v>
      </c>
      <c r="E106" s="6" t="n">
        <v>22</v>
      </c>
      <c r="F106" s="6" t="n">
        <v>267</v>
      </c>
      <c r="G106" s="6" t="n">
        <v>274</v>
      </c>
      <c r="H106" s="6" t="n">
        <v>21</v>
      </c>
      <c r="I106" s="7" t="n">
        <v>65270</v>
      </c>
      <c r="J106" s="6" t="n">
        <v>8</v>
      </c>
      <c r="K106" s="5" t="s">
        <v>31</v>
      </c>
    </row>
    <row r="107" customFormat="false" ht="15" hidden="false" customHeight="false" outlineLevel="0" collapsed="false">
      <c r="A107" s="8" t="s">
        <v>144</v>
      </c>
      <c r="B107" s="8" t="s">
        <v>140</v>
      </c>
      <c r="C107" s="8" t="s">
        <v>30</v>
      </c>
      <c r="D107" s="9" t="n">
        <v>17</v>
      </c>
      <c r="E107" s="9" t="n">
        <v>22</v>
      </c>
      <c r="F107" s="9" t="n">
        <v>285</v>
      </c>
      <c r="G107" s="9" t="n">
        <v>260</v>
      </c>
      <c r="H107" s="9" t="n">
        <v>21</v>
      </c>
      <c r="I107" s="10" t="n">
        <v>62700</v>
      </c>
      <c r="J107" s="9" t="n">
        <v>8</v>
      </c>
      <c r="K107" s="8" t="s">
        <v>31</v>
      </c>
    </row>
    <row r="108" customFormat="false" ht="15" hidden="false" customHeight="false" outlineLevel="0" collapsed="false">
      <c r="A108" s="5" t="s">
        <v>145</v>
      </c>
      <c r="B108" s="5" t="s">
        <v>140</v>
      </c>
      <c r="C108" s="5" t="s">
        <v>37</v>
      </c>
      <c r="D108" s="6" t="n">
        <v>18</v>
      </c>
      <c r="E108" s="6" t="n">
        <v>22</v>
      </c>
      <c r="F108" s="6" t="n">
        <v>522</v>
      </c>
      <c r="G108" s="6" t="n">
        <v>502</v>
      </c>
      <c r="H108" s="6" t="n">
        <v>29</v>
      </c>
      <c r="I108" s="7" t="n">
        <v>73787</v>
      </c>
      <c r="J108" s="6" t="n">
        <v>5</v>
      </c>
      <c r="K108" s="5" t="s">
        <v>31</v>
      </c>
    </row>
    <row r="109" customFormat="false" ht="15" hidden="false" customHeight="false" outlineLevel="0" collapsed="false">
      <c r="A109" s="8" t="s">
        <v>146</v>
      </c>
      <c r="B109" s="8" t="s">
        <v>140</v>
      </c>
      <c r="C109" s="8" t="s">
        <v>37</v>
      </c>
      <c r="D109" s="9" t="n">
        <v>23</v>
      </c>
      <c r="E109" s="9" t="n">
        <v>22</v>
      </c>
      <c r="F109" s="9" t="n">
        <v>520</v>
      </c>
      <c r="G109" s="9" t="n">
        <v>508</v>
      </c>
      <c r="H109" s="9" t="n">
        <v>30</v>
      </c>
      <c r="I109" s="10" t="n">
        <v>81357</v>
      </c>
      <c r="J109" s="9" t="n">
        <v>5</v>
      </c>
      <c r="K109" s="8" t="s">
        <v>31</v>
      </c>
    </row>
    <row r="110" customFormat="false" ht="15" hidden="false" customHeight="false" outlineLevel="0" collapsed="false">
      <c r="A110" s="5" t="s">
        <v>147</v>
      </c>
      <c r="B110" s="5" t="s">
        <v>140</v>
      </c>
      <c r="C110" s="5" t="s">
        <v>37</v>
      </c>
      <c r="D110" s="6" t="n">
        <v>23</v>
      </c>
      <c r="E110" s="6" t="n">
        <v>22</v>
      </c>
      <c r="F110" s="6" t="n">
        <v>519</v>
      </c>
      <c r="G110" s="6" t="n">
        <v>513</v>
      </c>
      <c r="H110" s="6" t="n">
        <v>31</v>
      </c>
      <c r="I110" s="7" t="n">
        <v>76877</v>
      </c>
      <c r="J110" s="6" t="n">
        <v>7</v>
      </c>
      <c r="K110" s="5" t="s">
        <v>31</v>
      </c>
    </row>
    <row r="111" customFormat="false" ht="15" hidden="false" customHeight="false" outlineLevel="0" collapsed="false">
      <c r="A111" s="8" t="s">
        <v>148</v>
      </c>
      <c r="B111" s="8" t="s">
        <v>140</v>
      </c>
      <c r="C111" s="8" t="s">
        <v>37</v>
      </c>
      <c r="D111" s="9" t="n">
        <v>19</v>
      </c>
      <c r="E111" s="9" t="n">
        <v>22</v>
      </c>
      <c r="F111" s="9" t="n">
        <v>494</v>
      </c>
      <c r="G111" s="9" t="n">
        <v>468</v>
      </c>
      <c r="H111" s="9" t="n">
        <v>23</v>
      </c>
      <c r="I111" s="10" t="n">
        <v>76819</v>
      </c>
      <c r="J111" s="9" t="n">
        <v>7</v>
      </c>
      <c r="K111" s="8" t="s">
        <v>31</v>
      </c>
    </row>
    <row r="112" customFormat="false" ht="15" hidden="false" customHeight="false" outlineLevel="0" collapsed="false">
      <c r="A112" s="5" t="s">
        <v>149</v>
      </c>
      <c r="B112" s="5" t="s">
        <v>140</v>
      </c>
      <c r="C112" s="5" t="s">
        <v>37</v>
      </c>
      <c r="D112" s="6" t="n">
        <v>18</v>
      </c>
      <c r="E112" s="6" t="n">
        <v>22</v>
      </c>
      <c r="F112" s="6" t="n">
        <v>501</v>
      </c>
      <c r="G112" s="6" t="n">
        <v>491</v>
      </c>
      <c r="H112" s="6" t="n">
        <v>22</v>
      </c>
      <c r="I112" s="7" t="n">
        <v>77051</v>
      </c>
      <c r="J112" s="6" t="n">
        <v>7</v>
      </c>
      <c r="K112" s="5" t="s">
        <v>31</v>
      </c>
    </row>
    <row r="113" customFormat="false" ht="15" hidden="false" customHeight="false" outlineLevel="0" collapsed="false">
      <c r="A113" s="8" t="s">
        <v>150</v>
      </c>
      <c r="B113" s="8" t="s">
        <v>140</v>
      </c>
      <c r="C113" s="8" t="s">
        <v>43</v>
      </c>
      <c r="D113" s="9" t="n">
        <v>14</v>
      </c>
      <c r="E113" s="9" t="n">
        <v>22</v>
      </c>
      <c r="F113" s="9" t="n">
        <v>203</v>
      </c>
      <c r="G113" s="9" t="n">
        <v>191</v>
      </c>
      <c r="H113" s="9" t="n">
        <v>25</v>
      </c>
      <c r="I113" s="10" t="n">
        <v>73752</v>
      </c>
      <c r="J113" s="9" t="n">
        <v>13</v>
      </c>
      <c r="K113" s="8" t="s">
        <v>31</v>
      </c>
    </row>
    <row r="114" customFormat="false" ht="15" hidden="false" customHeight="false" outlineLevel="0" collapsed="false">
      <c r="A114" s="5" t="s">
        <v>151</v>
      </c>
      <c r="B114" s="5" t="s">
        <v>140</v>
      </c>
      <c r="C114" s="5" t="s">
        <v>43</v>
      </c>
      <c r="D114" s="6" t="n">
        <v>13</v>
      </c>
      <c r="E114" s="6" t="n">
        <v>22</v>
      </c>
      <c r="F114" s="6" t="n">
        <v>192</v>
      </c>
      <c r="G114" s="6" t="n">
        <v>193</v>
      </c>
      <c r="H114" s="6" t="n">
        <v>24</v>
      </c>
      <c r="I114" s="7" t="n">
        <v>72475</v>
      </c>
      <c r="J114" s="6" t="n">
        <v>19</v>
      </c>
      <c r="K114" s="5" t="s">
        <v>31</v>
      </c>
    </row>
    <row r="115" customFormat="false" ht="15" hidden="false" customHeight="false" outlineLevel="0" collapsed="false">
      <c r="A115" s="8" t="s">
        <v>152</v>
      </c>
      <c r="B115" s="8" t="s">
        <v>140</v>
      </c>
      <c r="C115" s="8" t="s">
        <v>43</v>
      </c>
      <c r="D115" s="9" t="n">
        <v>12</v>
      </c>
      <c r="E115" s="9" t="n">
        <v>22</v>
      </c>
      <c r="F115" s="9" t="n">
        <v>199</v>
      </c>
      <c r="G115" s="9" t="n">
        <v>187</v>
      </c>
      <c r="H115" s="9" t="n">
        <v>-4</v>
      </c>
      <c r="I115" s="10" t="n">
        <v>78635</v>
      </c>
      <c r="J115" s="9" t="n">
        <v>15</v>
      </c>
      <c r="K115" s="8" t="s">
        <v>153</v>
      </c>
    </row>
    <row r="116" customFormat="false" ht="15" hidden="false" customHeight="false" outlineLevel="0" collapsed="false">
      <c r="A116" s="5" t="s">
        <v>154</v>
      </c>
      <c r="B116" s="5" t="s">
        <v>140</v>
      </c>
      <c r="C116" s="5" t="s">
        <v>43</v>
      </c>
      <c r="D116" s="6" t="n">
        <v>12</v>
      </c>
      <c r="E116" s="6" t="n">
        <v>22</v>
      </c>
      <c r="F116" s="6" t="n">
        <v>195</v>
      </c>
      <c r="G116" s="6" t="n">
        <v>192</v>
      </c>
      <c r="H116" s="6" t="n">
        <v>32</v>
      </c>
      <c r="I116" s="7" t="n">
        <v>72420</v>
      </c>
      <c r="J116" s="6" t="n">
        <v>13</v>
      </c>
      <c r="K116" s="5" t="s">
        <v>31</v>
      </c>
    </row>
    <row r="117" customFormat="false" ht="15" hidden="false" customHeight="false" outlineLevel="0" collapsed="false">
      <c r="A117" s="8" t="s">
        <v>155</v>
      </c>
      <c r="B117" s="8" t="s">
        <v>140</v>
      </c>
      <c r="C117" s="8" t="s">
        <v>43</v>
      </c>
      <c r="D117" s="9" t="n">
        <v>14</v>
      </c>
      <c r="E117" s="9" t="n">
        <v>22</v>
      </c>
      <c r="F117" s="9" t="n">
        <v>191</v>
      </c>
      <c r="G117" s="9" t="n">
        <v>188</v>
      </c>
      <c r="H117" s="9" t="n">
        <v>31</v>
      </c>
      <c r="I117" s="10" t="n">
        <v>76888</v>
      </c>
      <c r="J117" s="9" t="n">
        <v>13</v>
      </c>
      <c r="K117" s="8" t="s">
        <v>31</v>
      </c>
    </row>
    <row r="118" customFormat="false" ht="15" hidden="false" customHeight="false" outlineLevel="0" collapsed="false">
      <c r="A118" s="5" t="s">
        <v>156</v>
      </c>
      <c r="B118" s="5" t="s">
        <v>140</v>
      </c>
      <c r="C118" s="5" t="s">
        <v>49</v>
      </c>
      <c r="D118" s="6" t="n">
        <v>8</v>
      </c>
      <c r="E118" s="6" t="n">
        <v>22</v>
      </c>
      <c r="F118" s="6" t="n">
        <v>342</v>
      </c>
      <c r="G118" s="6" t="n">
        <v>338</v>
      </c>
      <c r="H118" s="6" t="n">
        <v>11</v>
      </c>
      <c r="I118" s="7" t="n">
        <v>46859</v>
      </c>
      <c r="J118" s="6" t="n">
        <v>2</v>
      </c>
      <c r="K118" s="5" t="s">
        <v>31</v>
      </c>
    </row>
    <row r="119" customFormat="false" ht="15" hidden="false" customHeight="false" outlineLevel="0" collapsed="false">
      <c r="A119" s="8" t="s">
        <v>157</v>
      </c>
      <c r="B119" s="8" t="s">
        <v>140</v>
      </c>
      <c r="C119" s="8" t="s">
        <v>49</v>
      </c>
      <c r="D119" s="9" t="n">
        <v>9</v>
      </c>
      <c r="E119" s="9" t="n">
        <v>22</v>
      </c>
      <c r="F119" s="9" t="n">
        <v>332</v>
      </c>
      <c r="G119" s="9" t="n">
        <v>332</v>
      </c>
      <c r="H119" s="9" t="n">
        <v>14</v>
      </c>
      <c r="I119" s="10" t="n">
        <v>43833</v>
      </c>
      <c r="J119" s="9" t="n">
        <v>2</v>
      </c>
      <c r="K119" s="8" t="s">
        <v>31</v>
      </c>
    </row>
    <row r="120" customFormat="false" ht="15" hidden="false" customHeight="false" outlineLevel="0" collapsed="false">
      <c r="A120" s="5" t="s">
        <v>158</v>
      </c>
      <c r="B120" s="5" t="s">
        <v>140</v>
      </c>
      <c r="C120" s="5" t="s">
        <v>49</v>
      </c>
      <c r="D120" s="6" t="n">
        <v>10</v>
      </c>
      <c r="E120" s="6" t="n">
        <v>22</v>
      </c>
      <c r="F120" s="6" t="n">
        <v>361</v>
      </c>
      <c r="G120" s="6" t="n">
        <v>350</v>
      </c>
      <c r="H120" s="6" t="n">
        <v>12</v>
      </c>
      <c r="I120" s="7" t="n">
        <v>48523</v>
      </c>
      <c r="J120" s="6" t="n">
        <v>3</v>
      </c>
      <c r="K120" s="5" t="s">
        <v>31</v>
      </c>
    </row>
    <row r="121" customFormat="false" ht="15" hidden="false" customHeight="false" outlineLevel="0" collapsed="false">
      <c r="A121" s="8" t="s">
        <v>159</v>
      </c>
      <c r="B121" s="8" t="s">
        <v>140</v>
      </c>
      <c r="C121" s="8" t="s">
        <v>49</v>
      </c>
      <c r="D121" s="9" t="n">
        <v>9</v>
      </c>
      <c r="E121" s="9" t="n">
        <v>22</v>
      </c>
      <c r="F121" s="9" t="n">
        <v>342</v>
      </c>
      <c r="G121" s="9" t="n">
        <v>300</v>
      </c>
      <c r="H121" s="9" t="n">
        <v>11</v>
      </c>
      <c r="I121" s="10" t="n">
        <v>48185</v>
      </c>
      <c r="J121" s="9" t="n">
        <v>2</v>
      </c>
      <c r="K121" s="8" t="s">
        <v>31</v>
      </c>
    </row>
    <row r="122" customFormat="false" ht="15" hidden="false" customHeight="false" outlineLevel="0" collapsed="false">
      <c r="A122" s="5" t="s">
        <v>160</v>
      </c>
      <c r="B122" s="5" t="s">
        <v>140</v>
      </c>
      <c r="C122" s="5" t="s">
        <v>49</v>
      </c>
      <c r="D122" s="6" t="n">
        <v>9</v>
      </c>
      <c r="E122" s="6" t="n">
        <v>22</v>
      </c>
      <c r="F122" s="6" t="n">
        <v>343</v>
      </c>
      <c r="G122" s="6" t="n">
        <v>332</v>
      </c>
      <c r="H122" s="6" t="n">
        <v>15</v>
      </c>
      <c r="I122" s="7" t="n">
        <v>47661</v>
      </c>
      <c r="J122" s="6" t="n">
        <v>2</v>
      </c>
      <c r="K122" s="5" t="s">
        <v>31</v>
      </c>
    </row>
    <row r="123" customFormat="false" ht="15" hidden="false" customHeight="false" outlineLevel="0" collapsed="false">
      <c r="A123" s="8" t="s">
        <v>161</v>
      </c>
      <c r="B123" s="8" t="s">
        <v>162</v>
      </c>
      <c r="C123" s="8" t="s">
        <v>30</v>
      </c>
      <c r="D123" s="9" t="n">
        <v>18</v>
      </c>
      <c r="E123" s="9" t="n">
        <v>22</v>
      </c>
      <c r="F123" s="9" t="n">
        <v>292</v>
      </c>
      <c r="G123" s="9" t="n">
        <v>294</v>
      </c>
      <c r="H123" s="9" t="n">
        <v>20</v>
      </c>
      <c r="I123" s="10" t="n">
        <v>64076</v>
      </c>
      <c r="J123" s="9" t="n">
        <v>8</v>
      </c>
      <c r="K123" s="8" t="s">
        <v>31</v>
      </c>
    </row>
    <row r="124" customFormat="false" ht="15" hidden="false" customHeight="false" outlineLevel="0" collapsed="false">
      <c r="A124" s="5" t="s">
        <v>163</v>
      </c>
      <c r="B124" s="5" t="s">
        <v>162</v>
      </c>
      <c r="C124" s="5" t="s">
        <v>30</v>
      </c>
      <c r="D124" s="6" t="n">
        <v>15</v>
      </c>
      <c r="E124" s="6" t="n">
        <v>22</v>
      </c>
      <c r="F124" s="6" t="n">
        <v>269</v>
      </c>
      <c r="G124" s="6" t="n">
        <v>278</v>
      </c>
      <c r="H124" s="6" t="n">
        <v>18</v>
      </c>
      <c r="I124" s="7" t="n">
        <v>62646</v>
      </c>
      <c r="J124" s="6" t="n">
        <v>9</v>
      </c>
      <c r="K124" s="5" t="s">
        <v>31</v>
      </c>
    </row>
    <row r="125" customFormat="false" ht="15" hidden="false" customHeight="false" outlineLevel="0" collapsed="false">
      <c r="A125" s="8" t="s">
        <v>164</v>
      </c>
      <c r="B125" s="8" t="s">
        <v>162</v>
      </c>
      <c r="C125" s="8" t="s">
        <v>30</v>
      </c>
      <c r="D125" s="9" t="n">
        <v>17</v>
      </c>
      <c r="E125" s="9" t="n">
        <v>22</v>
      </c>
      <c r="F125" s="9" t="n">
        <v>283</v>
      </c>
      <c r="G125" s="9" t="n">
        <v>275</v>
      </c>
      <c r="H125" s="9" t="n">
        <v>22</v>
      </c>
      <c r="I125" s="10" t="n">
        <v>67434</v>
      </c>
      <c r="J125" s="9" t="n">
        <v>9</v>
      </c>
      <c r="K125" s="8" t="s">
        <v>31</v>
      </c>
    </row>
    <row r="126" customFormat="false" ht="15" hidden="false" customHeight="false" outlineLevel="0" collapsed="false">
      <c r="A126" s="5" t="s">
        <v>165</v>
      </c>
      <c r="B126" s="5" t="s">
        <v>162</v>
      </c>
      <c r="C126" s="5" t="s">
        <v>30</v>
      </c>
      <c r="D126" s="6" t="n">
        <v>17</v>
      </c>
      <c r="E126" s="6" t="n">
        <v>22</v>
      </c>
      <c r="F126" s="6" t="n">
        <v>271</v>
      </c>
      <c r="G126" s="6" t="n">
        <v>277</v>
      </c>
      <c r="H126" s="6" t="n">
        <v>24</v>
      </c>
      <c r="I126" s="7" t="n">
        <v>66481</v>
      </c>
      <c r="J126" s="6" t="n">
        <v>10</v>
      </c>
      <c r="K126" s="5" t="s">
        <v>31</v>
      </c>
    </row>
    <row r="127" customFormat="false" ht="15" hidden="false" customHeight="false" outlineLevel="0" collapsed="false">
      <c r="A127" s="8" t="s">
        <v>166</v>
      </c>
      <c r="B127" s="8" t="s">
        <v>162</v>
      </c>
      <c r="C127" s="8" t="s">
        <v>30</v>
      </c>
      <c r="D127" s="9" t="n">
        <v>17</v>
      </c>
      <c r="E127" s="9" t="n">
        <v>22</v>
      </c>
      <c r="F127" s="9" t="n">
        <v>270</v>
      </c>
      <c r="G127" s="9" t="n">
        <v>260</v>
      </c>
      <c r="H127" s="9" t="n">
        <v>18</v>
      </c>
      <c r="I127" s="10" t="n">
        <v>63334</v>
      </c>
      <c r="J127" s="9" t="n">
        <v>8</v>
      </c>
      <c r="K127" s="8" t="s">
        <v>31</v>
      </c>
    </row>
    <row r="128" customFormat="false" ht="15" hidden="false" customHeight="false" outlineLevel="0" collapsed="false">
      <c r="A128" s="5" t="s">
        <v>167</v>
      </c>
      <c r="B128" s="5" t="s">
        <v>162</v>
      </c>
      <c r="C128" s="5" t="s">
        <v>37</v>
      </c>
      <c r="D128" s="6" t="n">
        <v>19</v>
      </c>
      <c r="E128" s="6" t="n">
        <v>22</v>
      </c>
      <c r="F128" s="6" t="n">
        <v>501</v>
      </c>
      <c r="G128" s="6" t="n">
        <v>480</v>
      </c>
      <c r="H128" s="6" t="n">
        <v>27</v>
      </c>
      <c r="I128" s="7" t="n">
        <v>79575</v>
      </c>
      <c r="J128" s="6" t="n">
        <v>7</v>
      </c>
      <c r="K128" s="5" t="s">
        <v>31</v>
      </c>
    </row>
    <row r="129" customFormat="false" ht="15" hidden="false" customHeight="false" outlineLevel="0" collapsed="false">
      <c r="A129" s="8" t="s">
        <v>168</v>
      </c>
      <c r="B129" s="8" t="s">
        <v>162</v>
      </c>
      <c r="C129" s="8" t="s">
        <v>37</v>
      </c>
      <c r="D129" s="9" t="n">
        <v>21</v>
      </c>
      <c r="E129" s="9" t="n">
        <v>22</v>
      </c>
      <c r="F129" s="9" t="n">
        <v>493</v>
      </c>
      <c r="G129" s="9" t="n">
        <v>501</v>
      </c>
      <c r="H129" s="9" t="n">
        <v>24</v>
      </c>
      <c r="I129" s="10" t="n">
        <v>82266</v>
      </c>
      <c r="J129" s="9" t="n">
        <v>5</v>
      </c>
      <c r="K129" s="8" t="s">
        <v>31</v>
      </c>
    </row>
    <row r="130" customFormat="false" ht="15" hidden="false" customHeight="false" outlineLevel="0" collapsed="false">
      <c r="A130" s="5" t="s">
        <v>169</v>
      </c>
      <c r="B130" s="5" t="s">
        <v>162</v>
      </c>
      <c r="C130" s="5" t="s">
        <v>37</v>
      </c>
      <c r="D130" s="6" t="n">
        <v>20</v>
      </c>
      <c r="E130" s="6" t="n">
        <v>22</v>
      </c>
      <c r="F130" s="6" t="n">
        <v>518</v>
      </c>
      <c r="G130" s="6" t="n">
        <v>489</v>
      </c>
      <c r="H130" s="6" t="n">
        <v>21</v>
      </c>
      <c r="I130" s="7" t="n">
        <v>79441</v>
      </c>
      <c r="J130" s="6" t="n">
        <v>8</v>
      </c>
      <c r="K130" s="5" t="s">
        <v>31</v>
      </c>
    </row>
    <row r="131" customFormat="false" ht="15" hidden="false" customHeight="false" outlineLevel="0" collapsed="false">
      <c r="A131" s="8" t="s">
        <v>170</v>
      </c>
      <c r="B131" s="8" t="s">
        <v>162</v>
      </c>
      <c r="C131" s="8" t="s">
        <v>37</v>
      </c>
      <c r="D131" s="9" t="n">
        <v>18</v>
      </c>
      <c r="E131" s="9" t="n">
        <v>22</v>
      </c>
      <c r="F131" s="9" t="n">
        <v>504</v>
      </c>
      <c r="G131" s="9" t="n">
        <v>477</v>
      </c>
      <c r="H131" s="9" t="n">
        <v>22</v>
      </c>
      <c r="I131" s="10" t="n">
        <v>80317</v>
      </c>
      <c r="J131" s="9" t="n">
        <v>8</v>
      </c>
      <c r="K131" s="8" t="s">
        <v>31</v>
      </c>
    </row>
    <row r="132" customFormat="false" ht="15" hidden="false" customHeight="false" outlineLevel="0" collapsed="false">
      <c r="A132" s="5" t="s">
        <v>171</v>
      </c>
      <c r="B132" s="5" t="s">
        <v>162</v>
      </c>
      <c r="C132" s="5" t="s">
        <v>37</v>
      </c>
      <c r="D132" s="6" t="n">
        <v>22</v>
      </c>
      <c r="E132" s="6" t="n">
        <v>22</v>
      </c>
      <c r="F132" s="6" t="n">
        <v>515</v>
      </c>
      <c r="G132" s="6" t="n">
        <v>478</v>
      </c>
      <c r="H132" s="6" t="n">
        <v>24</v>
      </c>
      <c r="I132" s="7" t="n">
        <v>76636</v>
      </c>
      <c r="J132" s="6" t="n">
        <v>8</v>
      </c>
      <c r="K132" s="5" t="s">
        <v>31</v>
      </c>
    </row>
    <row r="133" customFormat="false" ht="15" hidden="false" customHeight="false" outlineLevel="0" collapsed="false">
      <c r="A133" s="8" t="s">
        <v>172</v>
      </c>
      <c r="B133" s="8" t="s">
        <v>162</v>
      </c>
      <c r="C133" s="8" t="s">
        <v>43</v>
      </c>
      <c r="D133" s="9" t="n">
        <v>13</v>
      </c>
      <c r="E133" s="9" t="n">
        <v>22</v>
      </c>
      <c r="F133" s="9" t="n">
        <v>197</v>
      </c>
      <c r="G133" s="9" t="n">
        <v>177</v>
      </c>
      <c r="H133" s="9" t="n">
        <v>40</v>
      </c>
      <c r="I133" s="10" t="n">
        <v>73290</v>
      </c>
      <c r="J133" s="9" t="n">
        <v>13</v>
      </c>
      <c r="K133" s="8" t="s">
        <v>31</v>
      </c>
    </row>
    <row r="134" customFormat="false" ht="15" hidden="false" customHeight="false" outlineLevel="0" collapsed="false">
      <c r="A134" s="5" t="s">
        <v>173</v>
      </c>
      <c r="B134" s="5" t="s">
        <v>162</v>
      </c>
      <c r="C134" s="5" t="s">
        <v>43</v>
      </c>
      <c r="D134" s="6" t="n">
        <v>15</v>
      </c>
      <c r="E134" s="6" t="n">
        <v>22</v>
      </c>
      <c r="F134" s="6" t="n">
        <v>214</v>
      </c>
      <c r="G134" s="6" t="n">
        <v>171</v>
      </c>
      <c r="H134" s="6" t="n">
        <v>32</v>
      </c>
      <c r="I134" s="7" t="n">
        <v>75572</v>
      </c>
      <c r="J134" s="6" t="n">
        <v>13</v>
      </c>
      <c r="K134" s="5" t="s">
        <v>31</v>
      </c>
    </row>
    <row r="135" customFormat="false" ht="15" hidden="false" customHeight="false" outlineLevel="0" collapsed="false">
      <c r="A135" s="8" t="s">
        <v>174</v>
      </c>
      <c r="B135" s="8" t="s">
        <v>162</v>
      </c>
      <c r="C135" s="8" t="s">
        <v>43</v>
      </c>
      <c r="D135" s="9" t="n">
        <v>16</v>
      </c>
      <c r="E135" s="9" t="n">
        <v>22</v>
      </c>
      <c r="F135" s="9" t="n">
        <v>212</v>
      </c>
      <c r="G135" s="9" t="n">
        <v>174</v>
      </c>
      <c r="H135" s="9" t="n">
        <v>41</v>
      </c>
      <c r="I135" s="10" t="n">
        <v>73630</v>
      </c>
      <c r="J135" s="9" t="n">
        <v>20</v>
      </c>
      <c r="K135" s="8" t="s">
        <v>31</v>
      </c>
    </row>
    <row r="136" customFormat="false" ht="15" hidden="false" customHeight="false" outlineLevel="0" collapsed="false">
      <c r="A136" s="5" t="s">
        <v>175</v>
      </c>
      <c r="B136" s="5" t="s">
        <v>162</v>
      </c>
      <c r="C136" s="5" t="s">
        <v>43</v>
      </c>
      <c r="D136" s="6" t="n">
        <v>12</v>
      </c>
      <c r="E136" s="6" t="n">
        <v>22</v>
      </c>
      <c r="F136" s="6" t="n">
        <v>210</v>
      </c>
      <c r="G136" s="6" t="n">
        <v>171</v>
      </c>
      <c r="H136" s="6" t="n">
        <v>49</v>
      </c>
      <c r="I136" s="7" t="n">
        <v>74652</v>
      </c>
      <c r="J136" s="6" t="n">
        <v>15</v>
      </c>
      <c r="K136" s="5" t="s">
        <v>31</v>
      </c>
    </row>
    <row r="137" customFormat="false" ht="15" hidden="false" customHeight="false" outlineLevel="0" collapsed="false">
      <c r="A137" s="8" t="s">
        <v>176</v>
      </c>
      <c r="B137" s="8" t="s">
        <v>162</v>
      </c>
      <c r="C137" s="8" t="s">
        <v>43</v>
      </c>
      <c r="D137" s="9" t="n">
        <v>12</v>
      </c>
      <c r="E137" s="9" t="n">
        <v>22</v>
      </c>
      <c r="F137" s="9" t="n">
        <v>222</v>
      </c>
      <c r="G137" s="9" t="n">
        <v>188</v>
      </c>
      <c r="H137" s="9" t="n">
        <v>38</v>
      </c>
      <c r="I137" s="10" t="n">
        <v>74944</v>
      </c>
      <c r="J137" s="9" t="n">
        <v>20</v>
      </c>
      <c r="K137" s="8" t="s">
        <v>31</v>
      </c>
    </row>
    <row r="138" customFormat="false" ht="15" hidden="false" customHeight="false" outlineLevel="0" collapsed="false">
      <c r="A138" s="5" t="s">
        <v>177</v>
      </c>
      <c r="B138" s="5" t="s">
        <v>162</v>
      </c>
      <c r="C138" s="5" t="s">
        <v>49</v>
      </c>
      <c r="D138" s="6" t="n">
        <v>12</v>
      </c>
      <c r="E138" s="6" t="n">
        <v>22</v>
      </c>
      <c r="F138" s="6" t="n">
        <v>357</v>
      </c>
      <c r="G138" s="6" t="n">
        <v>382</v>
      </c>
      <c r="H138" s="6" t="n">
        <v>12</v>
      </c>
      <c r="I138" s="7" t="n">
        <v>45477</v>
      </c>
      <c r="J138" s="6" t="n">
        <v>3</v>
      </c>
      <c r="K138" s="5" t="s">
        <v>31</v>
      </c>
    </row>
    <row r="139" customFormat="false" ht="15" hidden="false" customHeight="false" outlineLevel="0" collapsed="false">
      <c r="A139" s="8" t="s">
        <v>178</v>
      </c>
      <c r="B139" s="8" t="s">
        <v>162</v>
      </c>
      <c r="C139" s="8" t="s">
        <v>49</v>
      </c>
      <c r="D139" s="9" t="n">
        <v>9</v>
      </c>
      <c r="E139" s="9" t="n">
        <v>22</v>
      </c>
      <c r="F139" s="9" t="n">
        <v>330</v>
      </c>
      <c r="G139" s="9" t="n">
        <v>299</v>
      </c>
      <c r="H139" s="9" t="n">
        <v>12</v>
      </c>
      <c r="I139" s="10" t="n">
        <v>50985</v>
      </c>
      <c r="J139" s="9" t="n">
        <v>2</v>
      </c>
      <c r="K139" s="8" t="s">
        <v>31</v>
      </c>
    </row>
    <row r="140" customFormat="false" ht="15" hidden="false" customHeight="false" outlineLevel="0" collapsed="false">
      <c r="A140" s="5" t="s">
        <v>179</v>
      </c>
      <c r="B140" s="5" t="s">
        <v>162</v>
      </c>
      <c r="C140" s="5" t="s">
        <v>49</v>
      </c>
      <c r="D140" s="6" t="n">
        <v>11</v>
      </c>
      <c r="E140" s="6" t="n">
        <v>22</v>
      </c>
      <c r="F140" s="6" t="n">
        <v>329</v>
      </c>
      <c r="G140" s="6" t="n">
        <v>311</v>
      </c>
      <c r="H140" s="6" t="n">
        <v>14</v>
      </c>
      <c r="I140" s="7" t="n">
        <v>46727</v>
      </c>
      <c r="J140" s="6" t="n">
        <v>2</v>
      </c>
      <c r="K140" s="5" t="s">
        <v>31</v>
      </c>
    </row>
    <row r="141" customFormat="false" ht="15" hidden="false" customHeight="false" outlineLevel="0" collapsed="false">
      <c r="A141" s="8" t="s">
        <v>180</v>
      </c>
      <c r="B141" s="8" t="s">
        <v>162</v>
      </c>
      <c r="C141" s="8" t="s">
        <v>49</v>
      </c>
      <c r="D141" s="9" t="n">
        <v>10</v>
      </c>
      <c r="E141" s="9" t="n">
        <v>22</v>
      </c>
      <c r="F141" s="9" t="n">
        <v>362</v>
      </c>
      <c r="G141" s="9" t="n">
        <v>345</v>
      </c>
      <c r="H141" s="9" t="n">
        <v>12</v>
      </c>
      <c r="I141" s="10" t="n">
        <v>46941</v>
      </c>
      <c r="J141" s="9" t="n">
        <v>3</v>
      </c>
      <c r="K141" s="8" t="s">
        <v>31</v>
      </c>
    </row>
    <row r="142" customFormat="false" ht="15" hidden="false" customHeight="false" outlineLevel="0" collapsed="false">
      <c r="A142" s="5" t="s">
        <v>181</v>
      </c>
      <c r="B142" s="5" t="s">
        <v>162</v>
      </c>
      <c r="C142" s="5" t="s">
        <v>49</v>
      </c>
      <c r="D142" s="6" t="n">
        <v>12</v>
      </c>
      <c r="E142" s="6" t="n">
        <v>22</v>
      </c>
      <c r="F142" s="6" t="n">
        <v>336</v>
      </c>
      <c r="G142" s="6" t="n">
        <v>335</v>
      </c>
      <c r="H142" s="6" t="n">
        <v>10</v>
      </c>
      <c r="I142" s="7" t="n">
        <v>45446</v>
      </c>
      <c r="J142" s="6" t="n">
        <v>2</v>
      </c>
      <c r="K142" s="5" t="s">
        <v>31</v>
      </c>
    </row>
    <row r="143" customFormat="false" ht="15" hidden="false" customHeight="false" outlineLevel="0" collapsed="false">
      <c r="A143" s="8" t="s">
        <v>182</v>
      </c>
      <c r="B143" s="8" t="s">
        <v>183</v>
      </c>
      <c r="C143" s="8" t="s">
        <v>30</v>
      </c>
      <c r="D143" s="9" t="n">
        <v>18</v>
      </c>
      <c r="E143" s="9" t="n">
        <v>20</v>
      </c>
      <c r="F143" s="9" t="n">
        <v>259</v>
      </c>
      <c r="G143" s="9" t="n">
        <v>252</v>
      </c>
      <c r="H143" s="9" t="n">
        <v>22</v>
      </c>
      <c r="I143" s="10" t="n">
        <v>65713</v>
      </c>
      <c r="J143" s="9" t="n">
        <v>10</v>
      </c>
      <c r="K143" s="8" t="s">
        <v>31</v>
      </c>
    </row>
    <row r="144" customFormat="false" ht="15" hidden="false" customHeight="false" outlineLevel="0" collapsed="false">
      <c r="A144" s="5" t="s">
        <v>184</v>
      </c>
      <c r="B144" s="5" t="s">
        <v>183</v>
      </c>
      <c r="C144" s="5" t="s">
        <v>30</v>
      </c>
      <c r="D144" s="6" t="n">
        <v>16</v>
      </c>
      <c r="E144" s="6" t="n">
        <v>20</v>
      </c>
      <c r="F144" s="6" t="n">
        <v>272</v>
      </c>
      <c r="G144" s="6" t="n">
        <v>281</v>
      </c>
      <c r="H144" s="6" t="n">
        <v>20</v>
      </c>
      <c r="I144" s="7" t="n">
        <v>61911</v>
      </c>
      <c r="J144" s="6" t="n">
        <v>8</v>
      </c>
      <c r="K144" s="5" t="s">
        <v>31</v>
      </c>
    </row>
    <row r="145" customFormat="false" ht="15" hidden="false" customHeight="false" outlineLevel="0" collapsed="false">
      <c r="A145" s="8" t="s">
        <v>185</v>
      </c>
      <c r="B145" s="8" t="s">
        <v>183</v>
      </c>
      <c r="C145" s="8" t="s">
        <v>30</v>
      </c>
      <c r="D145" s="9" t="n">
        <v>15</v>
      </c>
      <c r="E145" s="9" t="n">
        <v>20</v>
      </c>
      <c r="F145" s="9" t="n">
        <v>263</v>
      </c>
      <c r="G145" s="9" t="n">
        <v>269</v>
      </c>
      <c r="H145" s="9" t="n">
        <v>25</v>
      </c>
      <c r="I145" s="10" t="n">
        <v>65314</v>
      </c>
      <c r="J145" s="9" t="n">
        <v>7</v>
      </c>
      <c r="K145" s="8" t="s">
        <v>31</v>
      </c>
    </row>
    <row r="146" customFormat="false" ht="15" hidden="false" customHeight="false" outlineLevel="0" collapsed="false">
      <c r="A146" s="5" t="s">
        <v>186</v>
      </c>
      <c r="B146" s="5" t="s">
        <v>183</v>
      </c>
      <c r="C146" s="5" t="s">
        <v>30</v>
      </c>
      <c r="D146" s="6" t="n">
        <v>16</v>
      </c>
      <c r="E146" s="6" t="n">
        <v>20</v>
      </c>
      <c r="F146" s="6" t="n">
        <v>285</v>
      </c>
      <c r="G146" s="6" t="n">
        <v>286</v>
      </c>
      <c r="H146" s="6" t="n">
        <v>26</v>
      </c>
      <c r="I146" s="7" t="n">
        <v>63485</v>
      </c>
      <c r="J146" s="6" t="n">
        <v>9</v>
      </c>
      <c r="K146" s="5" t="s">
        <v>31</v>
      </c>
    </row>
    <row r="147" customFormat="false" ht="15" hidden="false" customHeight="false" outlineLevel="0" collapsed="false">
      <c r="A147" s="8" t="s">
        <v>187</v>
      </c>
      <c r="B147" s="8" t="s">
        <v>183</v>
      </c>
      <c r="C147" s="8" t="s">
        <v>30</v>
      </c>
      <c r="D147" s="9" t="n">
        <v>15</v>
      </c>
      <c r="E147" s="9" t="n">
        <v>20</v>
      </c>
      <c r="F147" s="9" t="n">
        <v>258</v>
      </c>
      <c r="G147" s="9" t="n">
        <v>246</v>
      </c>
      <c r="H147" s="9" t="n">
        <v>23</v>
      </c>
      <c r="I147" s="10" t="n">
        <v>63654</v>
      </c>
      <c r="J147" s="9" t="n">
        <v>7</v>
      </c>
      <c r="K147" s="8" t="s">
        <v>31</v>
      </c>
    </row>
    <row r="148" customFormat="false" ht="15" hidden="false" customHeight="false" outlineLevel="0" collapsed="false">
      <c r="A148" s="5" t="s">
        <v>188</v>
      </c>
      <c r="B148" s="5" t="s">
        <v>183</v>
      </c>
      <c r="C148" s="5" t="s">
        <v>37</v>
      </c>
      <c r="D148" s="6" t="n">
        <v>23</v>
      </c>
      <c r="E148" s="6" t="n">
        <v>20</v>
      </c>
      <c r="F148" s="6" t="n">
        <v>493</v>
      </c>
      <c r="G148" s="6" t="n">
        <v>443</v>
      </c>
      <c r="H148" s="6" t="n">
        <v>27</v>
      </c>
      <c r="I148" s="7" t="n">
        <v>80738</v>
      </c>
      <c r="J148" s="6" t="n">
        <v>7</v>
      </c>
      <c r="K148" s="5" t="s">
        <v>31</v>
      </c>
    </row>
    <row r="149" customFormat="false" ht="15" hidden="false" customHeight="false" outlineLevel="0" collapsed="false">
      <c r="A149" s="8" t="s">
        <v>189</v>
      </c>
      <c r="B149" s="8" t="s">
        <v>183</v>
      </c>
      <c r="C149" s="8" t="s">
        <v>37</v>
      </c>
      <c r="D149" s="9" t="n">
        <v>18</v>
      </c>
      <c r="E149" s="9" t="n">
        <v>20</v>
      </c>
      <c r="F149" s="9" t="n">
        <v>494</v>
      </c>
      <c r="G149" s="9" t="n">
        <v>484</v>
      </c>
      <c r="H149" s="9" t="n">
        <v>24</v>
      </c>
      <c r="I149" s="10" t="n">
        <v>82174</v>
      </c>
      <c r="J149" s="9" t="n">
        <v>5</v>
      </c>
      <c r="K149" s="8" t="s">
        <v>31</v>
      </c>
    </row>
    <row r="150" customFormat="false" ht="15" hidden="false" customHeight="false" outlineLevel="0" collapsed="false">
      <c r="A150" s="5" t="s">
        <v>190</v>
      </c>
      <c r="B150" s="5" t="s">
        <v>183</v>
      </c>
      <c r="C150" s="5" t="s">
        <v>37</v>
      </c>
      <c r="D150" s="6" t="n">
        <v>19</v>
      </c>
      <c r="E150" s="6" t="n">
        <v>20</v>
      </c>
      <c r="F150" s="6" t="n">
        <v>501</v>
      </c>
      <c r="G150" s="6" t="n">
        <v>492</v>
      </c>
      <c r="H150" s="6" t="n">
        <v>26</v>
      </c>
      <c r="I150" s="7" t="n">
        <v>77868</v>
      </c>
      <c r="J150" s="6" t="n">
        <v>6</v>
      </c>
      <c r="K150" s="5" t="s">
        <v>31</v>
      </c>
    </row>
    <row r="151" customFormat="false" ht="15" hidden="false" customHeight="false" outlineLevel="0" collapsed="false">
      <c r="A151" s="8" t="s">
        <v>191</v>
      </c>
      <c r="B151" s="8" t="s">
        <v>183</v>
      </c>
      <c r="C151" s="8" t="s">
        <v>37</v>
      </c>
      <c r="D151" s="9" t="n">
        <v>23</v>
      </c>
      <c r="E151" s="9" t="n">
        <v>20</v>
      </c>
      <c r="F151" s="9" t="n">
        <v>506</v>
      </c>
      <c r="G151" s="9" t="n">
        <v>464</v>
      </c>
      <c r="H151" s="9" t="n">
        <v>21</v>
      </c>
      <c r="I151" s="10" t="n">
        <v>82328</v>
      </c>
      <c r="J151" s="9" t="n">
        <v>4</v>
      </c>
      <c r="K151" s="8" t="s">
        <v>31</v>
      </c>
    </row>
    <row r="152" customFormat="false" ht="15" hidden="false" customHeight="false" outlineLevel="0" collapsed="false">
      <c r="A152" s="5" t="s">
        <v>192</v>
      </c>
      <c r="B152" s="5" t="s">
        <v>183</v>
      </c>
      <c r="C152" s="5" t="s">
        <v>37</v>
      </c>
      <c r="D152" s="6" t="n">
        <v>19</v>
      </c>
      <c r="E152" s="6" t="n">
        <v>20</v>
      </c>
      <c r="F152" s="6" t="n">
        <v>505</v>
      </c>
      <c r="G152" s="6" t="n">
        <v>489</v>
      </c>
      <c r="H152" s="6" t="n">
        <v>20</v>
      </c>
      <c r="I152" s="7" t="n">
        <v>85426</v>
      </c>
      <c r="J152" s="6" t="n">
        <v>6</v>
      </c>
      <c r="K152" s="5" t="s">
        <v>31</v>
      </c>
    </row>
    <row r="153" customFormat="false" ht="15" hidden="false" customHeight="false" outlineLevel="0" collapsed="false">
      <c r="A153" s="8" t="s">
        <v>127</v>
      </c>
      <c r="B153" s="8" t="s">
        <v>119</v>
      </c>
      <c r="C153" s="8" t="s">
        <v>37</v>
      </c>
      <c r="D153" s="9" t="n">
        <v>23</v>
      </c>
      <c r="E153" s="9" t="n">
        <v>22</v>
      </c>
      <c r="F153" s="9" t="n">
        <v>486</v>
      </c>
      <c r="G153" s="9" t="n">
        <v>475</v>
      </c>
      <c r="H153" s="9" t="n">
        <v>25</v>
      </c>
      <c r="I153" s="10" t="n">
        <v>77875</v>
      </c>
      <c r="J153" s="9" t="n">
        <v>7</v>
      </c>
      <c r="K153" s="8" t="s">
        <v>31</v>
      </c>
    </row>
    <row r="154" customFormat="false" ht="15" hidden="false" customHeight="false" outlineLevel="0" collapsed="false">
      <c r="A154" s="5" t="s">
        <v>193</v>
      </c>
      <c r="B154" s="5" t="s">
        <v>183</v>
      </c>
      <c r="C154" s="5" t="s">
        <v>43</v>
      </c>
      <c r="D154" s="6" t="n">
        <v>13</v>
      </c>
      <c r="E154" s="6" t="n">
        <v>20</v>
      </c>
      <c r="F154" s="6" t="n">
        <v>200</v>
      </c>
      <c r="G154" s="6" t="n">
        <v>172</v>
      </c>
      <c r="H154" s="6" t="n">
        <v>42</v>
      </c>
      <c r="I154" s="7" t="n">
        <v>78418</v>
      </c>
      <c r="J154" s="6" t="n">
        <v>17</v>
      </c>
      <c r="K154" s="5" t="s">
        <v>31</v>
      </c>
    </row>
    <row r="155" customFormat="false" ht="15" hidden="false" customHeight="false" outlineLevel="0" collapsed="false">
      <c r="A155" s="8" t="s">
        <v>194</v>
      </c>
      <c r="B155" s="8" t="s">
        <v>183</v>
      </c>
      <c r="C155" s="8" t="s">
        <v>43</v>
      </c>
      <c r="D155" s="9" t="n">
        <v>13</v>
      </c>
      <c r="E155" s="9" t="n">
        <v>20</v>
      </c>
      <c r="F155" s="9" t="n">
        <v>205</v>
      </c>
      <c r="G155" s="9" t="n">
        <v>159</v>
      </c>
      <c r="H155" s="9" t="n">
        <v>37</v>
      </c>
      <c r="I155" s="10" t="n">
        <v>73621</v>
      </c>
      <c r="J155" s="9" t="n">
        <v>10</v>
      </c>
      <c r="K155" s="8" t="s">
        <v>31</v>
      </c>
    </row>
    <row r="156" customFormat="false" ht="15" hidden="false" customHeight="false" outlineLevel="0" collapsed="false">
      <c r="A156" s="5" t="s">
        <v>195</v>
      </c>
      <c r="B156" s="5" t="s">
        <v>183</v>
      </c>
      <c r="C156" s="5" t="s">
        <v>43</v>
      </c>
      <c r="D156" s="6" t="n">
        <v>15</v>
      </c>
      <c r="E156" s="6" t="n">
        <v>20</v>
      </c>
      <c r="F156" s="6" t="n">
        <v>189</v>
      </c>
      <c r="G156" s="6" t="n">
        <v>162</v>
      </c>
      <c r="H156" s="6" t="n">
        <v>33</v>
      </c>
      <c r="I156" s="7" t="n">
        <v>74732</v>
      </c>
      <c r="J156" s="6" t="n">
        <v>13</v>
      </c>
      <c r="K156" s="5" t="s">
        <v>31</v>
      </c>
    </row>
    <row r="157" customFormat="false" ht="15" hidden="false" customHeight="false" outlineLevel="0" collapsed="false">
      <c r="A157" s="8" t="s">
        <v>196</v>
      </c>
      <c r="B157" s="8" t="s">
        <v>183</v>
      </c>
      <c r="C157" s="8" t="s">
        <v>43</v>
      </c>
      <c r="D157" s="9" t="n">
        <v>14</v>
      </c>
      <c r="E157" s="9" t="n">
        <v>20</v>
      </c>
      <c r="F157" s="9" t="n">
        <v>223</v>
      </c>
      <c r="G157" s="9" t="n">
        <v>188</v>
      </c>
      <c r="H157" s="9" t="n">
        <v>53</v>
      </c>
      <c r="I157" s="10" t="n">
        <v>77511</v>
      </c>
      <c r="J157" s="9" t="n">
        <v>13</v>
      </c>
      <c r="K157" s="8" t="s">
        <v>31</v>
      </c>
    </row>
    <row r="158" customFormat="false" ht="15" hidden="false" customHeight="false" outlineLevel="0" collapsed="false">
      <c r="A158" s="5" t="s">
        <v>197</v>
      </c>
      <c r="B158" s="5" t="s">
        <v>183</v>
      </c>
      <c r="C158" s="5" t="s">
        <v>43</v>
      </c>
      <c r="D158" s="6" t="n">
        <v>12</v>
      </c>
      <c r="E158" s="6" t="n">
        <v>20</v>
      </c>
      <c r="F158" s="6" t="n">
        <v>208</v>
      </c>
      <c r="G158" s="6" t="n">
        <v>179</v>
      </c>
      <c r="H158" s="6" t="n">
        <v>48</v>
      </c>
      <c r="I158" s="7" t="n">
        <v>75739</v>
      </c>
      <c r="J158" s="6" t="n">
        <v>20</v>
      </c>
      <c r="K158" s="5" t="s">
        <v>31</v>
      </c>
    </row>
    <row r="159" customFormat="false" ht="15" hidden="false" customHeight="false" outlineLevel="0" collapsed="false">
      <c r="A159" s="8" t="s">
        <v>198</v>
      </c>
      <c r="B159" s="8" t="s">
        <v>183</v>
      </c>
      <c r="C159" s="8" t="s">
        <v>49</v>
      </c>
      <c r="D159" s="9" t="n">
        <v>10</v>
      </c>
      <c r="E159" s="9" t="n">
        <v>20</v>
      </c>
      <c r="F159" s="9" t="n">
        <v>358</v>
      </c>
      <c r="G159" s="9" t="n">
        <v>340</v>
      </c>
      <c r="H159" s="9" t="n">
        <v>12</v>
      </c>
      <c r="I159" s="10" t="n">
        <v>51181</v>
      </c>
      <c r="J159" s="9" t="n">
        <v>2</v>
      </c>
      <c r="K159" s="8" t="s">
        <v>31</v>
      </c>
    </row>
    <row r="160" customFormat="false" ht="15" hidden="false" customHeight="false" outlineLevel="0" collapsed="false">
      <c r="A160" s="5" t="s">
        <v>199</v>
      </c>
      <c r="B160" s="5" t="s">
        <v>183</v>
      </c>
      <c r="C160" s="5" t="s">
        <v>49</v>
      </c>
      <c r="D160" s="6" t="n">
        <v>8</v>
      </c>
      <c r="E160" s="6" t="n">
        <v>20</v>
      </c>
      <c r="F160" s="6" t="n">
        <v>349</v>
      </c>
      <c r="G160" s="6" t="n">
        <v>349</v>
      </c>
      <c r="H160" s="6" t="n">
        <v>14</v>
      </c>
      <c r="I160" s="7" t="n">
        <v>50180</v>
      </c>
      <c r="J160" s="6" t="n">
        <v>2</v>
      </c>
      <c r="K160" s="5" t="s">
        <v>31</v>
      </c>
    </row>
    <row r="161" customFormat="false" ht="15" hidden="false" customHeight="false" outlineLevel="0" collapsed="false">
      <c r="A161" s="8" t="s">
        <v>200</v>
      </c>
      <c r="B161" s="8" t="s">
        <v>183</v>
      </c>
      <c r="C161" s="8" t="s">
        <v>49</v>
      </c>
      <c r="D161" s="9" t="n">
        <v>9</v>
      </c>
      <c r="E161" s="9" t="n">
        <v>20</v>
      </c>
      <c r="F161" s="9" t="n">
        <v>354</v>
      </c>
      <c r="G161" s="9" t="n">
        <v>357</v>
      </c>
      <c r="H161" s="9" t="n">
        <v>17</v>
      </c>
      <c r="I161" s="10" t="n">
        <v>47026</v>
      </c>
      <c r="J161" s="9" t="n">
        <v>3</v>
      </c>
      <c r="K161" s="8" t="s">
        <v>31</v>
      </c>
    </row>
    <row r="162" customFormat="false" ht="15" hidden="false" customHeight="false" outlineLevel="0" collapsed="false">
      <c r="A162" s="5" t="s">
        <v>201</v>
      </c>
      <c r="B162" s="5" t="s">
        <v>183</v>
      </c>
      <c r="C162" s="5" t="s">
        <v>49</v>
      </c>
      <c r="D162" s="6" t="n">
        <v>8</v>
      </c>
      <c r="E162" s="6" t="n">
        <v>20</v>
      </c>
      <c r="F162" s="6" t="n">
        <v>336</v>
      </c>
      <c r="G162" s="6" t="n">
        <v>340</v>
      </c>
      <c r="H162" s="6" t="n">
        <v>15</v>
      </c>
      <c r="I162" s="7" t="n">
        <v>48051</v>
      </c>
      <c r="J162" s="6" t="n">
        <v>3</v>
      </c>
      <c r="K162" s="5" t="s">
        <v>31</v>
      </c>
    </row>
    <row r="163" customFormat="false" ht="15" hidden="false" customHeight="false" outlineLevel="0" collapsed="false">
      <c r="A163" s="8" t="s">
        <v>202</v>
      </c>
      <c r="B163" s="8" t="s">
        <v>183</v>
      </c>
      <c r="C163" s="8" t="s">
        <v>49</v>
      </c>
      <c r="D163" s="9" t="n">
        <v>12</v>
      </c>
      <c r="E163" s="9" t="n">
        <v>20</v>
      </c>
      <c r="F163" s="9" t="n">
        <v>340</v>
      </c>
      <c r="G163" s="9" t="n">
        <v>323</v>
      </c>
      <c r="H163" s="9" t="n">
        <v>13</v>
      </c>
      <c r="I163" s="10" t="n">
        <v>48789</v>
      </c>
      <c r="J163" s="9" t="n">
        <v>2</v>
      </c>
      <c r="K163" s="8" t="s">
        <v>31</v>
      </c>
    </row>
    <row r="164" customFormat="false" ht="15" hidden="false" customHeight="false" outlineLevel="0" collapsed="false">
      <c r="A164" s="5" t="s">
        <v>203</v>
      </c>
      <c r="B164" s="5" t="s">
        <v>204</v>
      </c>
      <c r="C164" s="5" t="s">
        <v>30</v>
      </c>
      <c r="D164" s="6" t="n">
        <v>15</v>
      </c>
      <c r="E164" s="6" t="n">
        <v>22</v>
      </c>
      <c r="F164" s="6" t="n">
        <v>277</v>
      </c>
      <c r="G164" s="6" t="n">
        <v>277</v>
      </c>
      <c r="H164" s="6" t="n">
        <v>18</v>
      </c>
      <c r="I164" s="7" t="n">
        <v>65220</v>
      </c>
      <c r="J164" s="6" t="n">
        <v>10</v>
      </c>
      <c r="K164" s="5" t="s">
        <v>31</v>
      </c>
    </row>
    <row r="165" customFormat="false" ht="15" hidden="false" customHeight="false" outlineLevel="0" collapsed="false">
      <c r="A165" s="8" t="s">
        <v>205</v>
      </c>
      <c r="B165" s="8" t="s">
        <v>204</v>
      </c>
      <c r="C165" s="8" t="s">
        <v>30</v>
      </c>
      <c r="D165" s="9" t="n">
        <v>14</v>
      </c>
      <c r="E165" s="9" t="n">
        <v>22</v>
      </c>
      <c r="F165" s="9" t="n">
        <v>259</v>
      </c>
      <c r="G165" s="9" t="n">
        <v>262</v>
      </c>
      <c r="H165" s="9" t="n">
        <v>24</v>
      </c>
      <c r="I165" s="10" t="n">
        <v>64803</v>
      </c>
      <c r="J165" s="9" t="n">
        <v>8</v>
      </c>
      <c r="K165" s="8" t="s">
        <v>31</v>
      </c>
    </row>
    <row r="166" customFormat="false" ht="15" hidden="false" customHeight="false" outlineLevel="0" collapsed="false">
      <c r="A166" s="5" t="s">
        <v>206</v>
      </c>
      <c r="B166" s="5" t="s">
        <v>204</v>
      </c>
      <c r="C166" s="5" t="s">
        <v>30</v>
      </c>
      <c r="D166" s="6" t="n">
        <v>15</v>
      </c>
      <c r="E166" s="6" t="n">
        <v>22</v>
      </c>
      <c r="F166" s="6" t="n">
        <v>268</v>
      </c>
      <c r="G166" s="6" t="n">
        <v>246</v>
      </c>
      <c r="H166" s="6" t="n">
        <v>20</v>
      </c>
      <c r="I166" s="7" t="n">
        <v>67715</v>
      </c>
      <c r="J166" s="6" t="n">
        <v>8</v>
      </c>
      <c r="K166" s="5" t="s">
        <v>31</v>
      </c>
    </row>
    <row r="167" customFormat="false" ht="15" hidden="false" customHeight="false" outlineLevel="0" collapsed="false">
      <c r="A167" s="8" t="s">
        <v>207</v>
      </c>
      <c r="B167" s="8" t="s">
        <v>204</v>
      </c>
      <c r="C167" s="8" t="s">
        <v>30</v>
      </c>
      <c r="D167" s="9" t="n">
        <v>16</v>
      </c>
      <c r="E167" s="9" t="n">
        <v>22</v>
      </c>
      <c r="F167" s="9" t="n">
        <v>277</v>
      </c>
      <c r="G167" s="9" t="n">
        <v>265</v>
      </c>
      <c r="H167" s="9" t="n">
        <v>19</v>
      </c>
      <c r="I167" s="10" t="n">
        <v>65223</v>
      </c>
      <c r="J167" s="9" t="n">
        <v>9</v>
      </c>
      <c r="K167" s="8" t="s">
        <v>31</v>
      </c>
    </row>
    <row r="168" customFormat="false" ht="15" hidden="false" customHeight="false" outlineLevel="0" collapsed="false">
      <c r="A168" s="5" t="s">
        <v>208</v>
      </c>
      <c r="B168" s="5" t="s">
        <v>204</v>
      </c>
      <c r="C168" s="5" t="s">
        <v>30</v>
      </c>
      <c r="D168" s="6" t="n">
        <v>18</v>
      </c>
      <c r="E168" s="6" t="n">
        <v>22</v>
      </c>
      <c r="F168" s="6" t="n">
        <v>273</v>
      </c>
      <c r="G168" s="6" t="n">
        <v>276</v>
      </c>
      <c r="H168" s="6" t="n">
        <v>26</v>
      </c>
      <c r="I168" s="7" t="n">
        <v>62064</v>
      </c>
      <c r="J168" s="6" t="n">
        <v>10</v>
      </c>
      <c r="K168" s="5" t="s">
        <v>31</v>
      </c>
    </row>
    <row r="169" customFormat="false" ht="15" hidden="false" customHeight="false" outlineLevel="0" collapsed="false">
      <c r="A169" s="8" t="s">
        <v>209</v>
      </c>
      <c r="B169" s="8" t="s">
        <v>204</v>
      </c>
      <c r="C169" s="8" t="s">
        <v>210</v>
      </c>
      <c r="D169" s="9" t="n">
        <v>23</v>
      </c>
      <c r="E169" s="9" t="n">
        <v>22</v>
      </c>
      <c r="F169" s="9" t="n">
        <v>475</v>
      </c>
      <c r="G169" s="9" t="n">
        <v>474</v>
      </c>
      <c r="H169" s="9" t="n">
        <v>27</v>
      </c>
      <c r="I169" s="10" t="n">
        <v>83637</v>
      </c>
      <c r="J169" s="9" t="n">
        <v>9</v>
      </c>
      <c r="K169" s="8" t="s">
        <v>211</v>
      </c>
    </row>
    <row r="170" customFormat="false" ht="15" hidden="false" customHeight="false" outlineLevel="0" collapsed="false">
      <c r="A170" s="5" t="s">
        <v>212</v>
      </c>
      <c r="B170" s="5" t="s">
        <v>204</v>
      </c>
      <c r="C170" s="5" t="s">
        <v>37</v>
      </c>
      <c r="D170" s="6" t="n">
        <v>21</v>
      </c>
      <c r="E170" s="6" t="n">
        <v>22</v>
      </c>
      <c r="F170" s="6" t="n">
        <v>502</v>
      </c>
      <c r="G170" s="6" t="n">
        <v>476</v>
      </c>
      <c r="H170" s="6" t="n">
        <v>24</v>
      </c>
      <c r="I170" s="7" t="n">
        <v>87051</v>
      </c>
      <c r="J170" s="6" t="n">
        <v>7</v>
      </c>
      <c r="K170" s="5" t="s">
        <v>31</v>
      </c>
    </row>
    <row r="171" customFormat="false" ht="15" hidden="false" customHeight="false" outlineLevel="0" collapsed="false">
      <c r="A171" s="8" t="s">
        <v>213</v>
      </c>
      <c r="B171" s="8" t="s">
        <v>204</v>
      </c>
      <c r="C171" s="8" t="s">
        <v>37</v>
      </c>
      <c r="D171" s="9" t="n">
        <v>21</v>
      </c>
      <c r="E171" s="9" t="n">
        <v>22</v>
      </c>
      <c r="F171" s="9" t="n">
        <v>483</v>
      </c>
      <c r="G171" s="9" t="n">
        <v>463</v>
      </c>
      <c r="H171" s="9" t="n">
        <v>23</v>
      </c>
      <c r="I171" s="10" t="n">
        <v>81854</v>
      </c>
      <c r="J171" s="9" t="n">
        <v>7</v>
      </c>
      <c r="K171" s="8" t="s">
        <v>31</v>
      </c>
    </row>
    <row r="172" customFormat="false" ht="15" hidden="false" customHeight="false" outlineLevel="0" collapsed="false">
      <c r="A172" s="5" t="s">
        <v>214</v>
      </c>
      <c r="B172" s="5" t="s">
        <v>204</v>
      </c>
      <c r="C172" s="5" t="s">
        <v>37</v>
      </c>
      <c r="D172" s="6" t="n">
        <v>18</v>
      </c>
      <c r="E172" s="6" t="n">
        <v>22</v>
      </c>
      <c r="F172" s="6" t="n">
        <v>476</v>
      </c>
      <c r="G172" s="6" t="n">
        <v>426</v>
      </c>
      <c r="H172" s="6" t="n">
        <v>25</v>
      </c>
      <c r="I172" s="7" t="n">
        <v>82768</v>
      </c>
      <c r="J172" s="6" t="n">
        <v>7</v>
      </c>
      <c r="K172" s="5" t="s">
        <v>31</v>
      </c>
    </row>
    <row r="173" customFormat="false" ht="15" hidden="false" customHeight="false" outlineLevel="0" collapsed="false">
      <c r="A173" s="8" t="s">
        <v>215</v>
      </c>
      <c r="B173" s="8" t="s">
        <v>204</v>
      </c>
      <c r="C173" s="8" t="s">
        <v>37</v>
      </c>
      <c r="D173" s="9" t="n">
        <v>22</v>
      </c>
      <c r="E173" s="9" t="n">
        <v>22</v>
      </c>
      <c r="F173" s="9" t="n">
        <v>498</v>
      </c>
      <c r="G173" s="9" t="n">
        <v>492</v>
      </c>
      <c r="H173" s="9" t="n">
        <v>20</v>
      </c>
      <c r="I173" s="10" t="n">
        <v>82894</v>
      </c>
      <c r="J173" s="9" t="n">
        <v>5</v>
      </c>
      <c r="K173" s="8" t="s">
        <v>31</v>
      </c>
    </row>
    <row r="174" customFormat="false" ht="15" hidden="false" customHeight="false" outlineLevel="0" collapsed="false">
      <c r="A174" s="5" t="s">
        <v>216</v>
      </c>
      <c r="B174" s="5" t="s">
        <v>204</v>
      </c>
      <c r="C174" s="5" t="s">
        <v>43</v>
      </c>
      <c r="D174" s="6" t="n">
        <v>12</v>
      </c>
      <c r="E174" s="6" t="n">
        <v>22</v>
      </c>
      <c r="F174" s="6" t="n">
        <v>208</v>
      </c>
      <c r="G174" s="6" t="n">
        <v>171</v>
      </c>
      <c r="H174" s="6" t="n">
        <v>41</v>
      </c>
      <c r="I174" s="7" t="n">
        <v>79403</v>
      </c>
      <c r="J174" s="6" t="n">
        <v>19</v>
      </c>
      <c r="K174" s="5" t="s">
        <v>31</v>
      </c>
    </row>
    <row r="175" customFormat="false" ht="15" hidden="false" customHeight="false" outlineLevel="0" collapsed="false">
      <c r="A175" s="8" t="s">
        <v>217</v>
      </c>
      <c r="B175" s="8" t="s">
        <v>204</v>
      </c>
      <c r="C175" s="8" t="s">
        <v>43</v>
      </c>
      <c r="D175" s="9" t="n">
        <v>14</v>
      </c>
      <c r="E175" s="9" t="n">
        <v>22</v>
      </c>
      <c r="F175" s="9" t="n">
        <v>197</v>
      </c>
      <c r="G175" s="9" t="n">
        <v>166</v>
      </c>
      <c r="H175" s="9" t="n">
        <v>44</v>
      </c>
      <c r="I175" s="10" t="n">
        <v>76250</v>
      </c>
      <c r="J175" s="9" t="n">
        <v>12</v>
      </c>
      <c r="K175" s="8" t="s">
        <v>31</v>
      </c>
    </row>
    <row r="176" customFormat="false" ht="15" hidden="false" customHeight="false" outlineLevel="0" collapsed="false">
      <c r="A176" s="5" t="s">
        <v>218</v>
      </c>
      <c r="B176" s="5" t="s">
        <v>204</v>
      </c>
      <c r="C176" s="5" t="s">
        <v>43</v>
      </c>
      <c r="D176" s="6" t="n">
        <v>14</v>
      </c>
      <c r="E176" s="6" t="n">
        <v>22</v>
      </c>
      <c r="F176" s="6" t="n">
        <v>194</v>
      </c>
      <c r="G176" s="6" t="n">
        <v>163</v>
      </c>
      <c r="H176" s="6" t="n">
        <v>30</v>
      </c>
      <c r="I176" s="7" t="n">
        <v>76592</v>
      </c>
      <c r="J176" s="6" t="n">
        <v>18</v>
      </c>
      <c r="K176" s="5" t="s">
        <v>31</v>
      </c>
    </row>
    <row r="177" customFormat="false" ht="15" hidden="false" customHeight="false" outlineLevel="0" collapsed="false">
      <c r="A177" s="8" t="s">
        <v>219</v>
      </c>
      <c r="B177" s="8" t="s">
        <v>204</v>
      </c>
      <c r="C177" s="8" t="s">
        <v>43</v>
      </c>
      <c r="D177" s="9" t="n">
        <v>16</v>
      </c>
      <c r="E177" s="9" t="n">
        <v>22</v>
      </c>
      <c r="F177" s="9" t="n">
        <v>189</v>
      </c>
      <c r="G177" s="9" t="n">
        <v>151</v>
      </c>
      <c r="H177" s="9" t="n">
        <v>35</v>
      </c>
      <c r="I177" s="10" t="n">
        <v>78906</v>
      </c>
      <c r="J177" s="9" t="n">
        <v>14</v>
      </c>
      <c r="K177" s="8" t="s">
        <v>31</v>
      </c>
    </row>
    <row r="178" customFormat="false" ht="15" hidden="false" customHeight="false" outlineLevel="0" collapsed="false">
      <c r="A178" s="5" t="s">
        <v>220</v>
      </c>
      <c r="B178" s="5" t="s">
        <v>204</v>
      </c>
      <c r="C178" s="5" t="s">
        <v>43</v>
      </c>
      <c r="D178" s="6" t="n">
        <v>12</v>
      </c>
      <c r="E178" s="6" t="n">
        <v>22</v>
      </c>
      <c r="F178" s="6" t="n">
        <v>219</v>
      </c>
      <c r="G178" s="6" t="n">
        <v>193</v>
      </c>
      <c r="H178" s="6" t="n">
        <v>38</v>
      </c>
      <c r="I178" s="7" t="n">
        <v>79935</v>
      </c>
      <c r="J178" s="6" t="n">
        <v>20</v>
      </c>
      <c r="K178" s="5" t="s">
        <v>31</v>
      </c>
    </row>
    <row r="179" customFormat="false" ht="15" hidden="false" customHeight="false" outlineLevel="0" collapsed="false">
      <c r="A179" s="8" t="s">
        <v>221</v>
      </c>
      <c r="B179" s="8" t="s">
        <v>204</v>
      </c>
      <c r="C179" s="8" t="s">
        <v>49</v>
      </c>
      <c r="D179" s="9" t="n">
        <v>12</v>
      </c>
      <c r="E179" s="9" t="n">
        <v>22</v>
      </c>
      <c r="F179" s="9" t="n">
        <v>343</v>
      </c>
      <c r="G179" s="9" t="n">
        <v>353</v>
      </c>
      <c r="H179" s="9" t="n">
        <v>11</v>
      </c>
      <c r="I179" s="10" t="n">
        <v>51344</v>
      </c>
      <c r="J179" s="9" t="n">
        <v>3</v>
      </c>
      <c r="K179" s="8" t="s">
        <v>31</v>
      </c>
    </row>
    <row r="180" customFormat="false" ht="15" hidden="false" customHeight="false" outlineLevel="0" collapsed="false">
      <c r="A180" s="5" t="s">
        <v>222</v>
      </c>
      <c r="B180" s="5" t="s">
        <v>204</v>
      </c>
      <c r="C180" s="5" t="s">
        <v>49</v>
      </c>
      <c r="D180" s="6" t="n">
        <v>10</v>
      </c>
      <c r="E180" s="6" t="n">
        <v>22</v>
      </c>
      <c r="F180" s="6" t="n">
        <v>346</v>
      </c>
      <c r="G180" s="6" t="n">
        <v>327</v>
      </c>
      <c r="H180" s="6" t="n">
        <v>15</v>
      </c>
      <c r="I180" s="7" t="n">
        <v>48674</v>
      </c>
      <c r="J180" s="6" t="n">
        <v>1</v>
      </c>
      <c r="K180" s="5" t="s">
        <v>31</v>
      </c>
    </row>
    <row r="181" customFormat="false" ht="15" hidden="false" customHeight="false" outlineLevel="0" collapsed="false">
      <c r="A181" s="8" t="s">
        <v>223</v>
      </c>
      <c r="B181" s="8" t="s">
        <v>204</v>
      </c>
      <c r="C181" s="8" t="s">
        <v>49</v>
      </c>
      <c r="D181" s="9" t="n">
        <v>8</v>
      </c>
      <c r="E181" s="9" t="n">
        <v>22</v>
      </c>
      <c r="F181" s="9" t="n">
        <v>323</v>
      </c>
      <c r="G181" s="9" t="n">
        <v>301</v>
      </c>
      <c r="H181" s="9" t="n">
        <v>11</v>
      </c>
      <c r="I181" s="10" t="n">
        <v>50144</v>
      </c>
      <c r="J181" s="9" t="n">
        <v>1</v>
      </c>
      <c r="K181" s="8" t="s">
        <v>31</v>
      </c>
    </row>
    <row r="182" customFormat="false" ht="15" hidden="false" customHeight="false" outlineLevel="0" collapsed="false">
      <c r="A182" s="5" t="s">
        <v>224</v>
      </c>
      <c r="B182" s="5" t="s">
        <v>204</v>
      </c>
      <c r="C182" s="5" t="s">
        <v>49</v>
      </c>
      <c r="D182" s="6" t="n">
        <v>10</v>
      </c>
      <c r="E182" s="6" t="n">
        <v>22</v>
      </c>
      <c r="F182" s="6" t="n">
        <v>323</v>
      </c>
      <c r="G182" s="6" t="n">
        <v>313</v>
      </c>
      <c r="H182" s="6" t="n">
        <v>15</v>
      </c>
      <c r="I182" s="7" t="n">
        <v>47797</v>
      </c>
      <c r="J182" s="6" t="n">
        <v>1</v>
      </c>
      <c r="K182" s="5" t="s">
        <v>31</v>
      </c>
    </row>
    <row r="183" customFormat="false" ht="15" hidden="false" customHeight="false" outlineLevel="0" collapsed="false">
      <c r="A183" s="8" t="s">
        <v>225</v>
      </c>
      <c r="B183" s="8" t="s">
        <v>204</v>
      </c>
      <c r="C183" s="8" t="s">
        <v>49</v>
      </c>
      <c r="D183" s="9" t="n">
        <v>11</v>
      </c>
      <c r="E183" s="9" t="n">
        <v>22</v>
      </c>
      <c r="F183" s="9" t="n">
        <v>323</v>
      </c>
      <c r="G183" s="9" t="n">
        <v>313</v>
      </c>
      <c r="H183" s="9" t="n">
        <v>15</v>
      </c>
      <c r="I183" s="10" t="n">
        <v>50226</v>
      </c>
      <c r="J183" s="9" t="n">
        <v>2</v>
      </c>
      <c r="K183" s="8" t="s">
        <v>31</v>
      </c>
    </row>
    <row r="184" customFormat="false" ht="15" hidden="false" customHeight="false" outlineLevel="0" collapsed="false">
      <c r="A184" s="5" t="s">
        <v>226</v>
      </c>
      <c r="B184" s="5" t="s">
        <v>227</v>
      </c>
      <c r="C184" s="5" t="s">
        <v>30</v>
      </c>
      <c r="D184" s="6" t="n">
        <v>15</v>
      </c>
      <c r="E184" s="6" t="n">
        <v>20</v>
      </c>
      <c r="F184" s="6" t="n">
        <v>294</v>
      </c>
      <c r="G184" s="6" t="n">
        <v>272</v>
      </c>
      <c r="H184" s="6" t="n">
        <v>22</v>
      </c>
      <c r="I184" s="7" t="n">
        <v>67344</v>
      </c>
      <c r="J184" s="6" t="n">
        <v>11</v>
      </c>
      <c r="K184" s="5" t="s">
        <v>31</v>
      </c>
    </row>
    <row r="185" customFormat="false" ht="15" hidden="false" customHeight="false" outlineLevel="0" collapsed="false">
      <c r="A185" s="8" t="s">
        <v>228</v>
      </c>
      <c r="B185" s="8" t="s">
        <v>227</v>
      </c>
      <c r="C185" s="8" t="s">
        <v>30</v>
      </c>
      <c r="D185" s="9" t="n">
        <v>17</v>
      </c>
      <c r="E185" s="9" t="n">
        <v>20</v>
      </c>
      <c r="F185" s="9" t="n">
        <v>300</v>
      </c>
      <c r="G185" s="9" t="n">
        <v>269</v>
      </c>
      <c r="H185" s="9" t="n">
        <v>20</v>
      </c>
      <c r="I185" s="10" t="n">
        <v>65547</v>
      </c>
      <c r="J185" s="9" t="n">
        <v>7</v>
      </c>
      <c r="K185" s="8" t="s">
        <v>31</v>
      </c>
    </row>
    <row r="186" customFormat="false" ht="15" hidden="false" customHeight="false" outlineLevel="0" collapsed="false">
      <c r="A186" s="5" t="s">
        <v>229</v>
      </c>
      <c r="B186" s="5" t="s">
        <v>227</v>
      </c>
      <c r="C186" s="5" t="s">
        <v>30</v>
      </c>
      <c r="D186" s="6" t="n">
        <v>18</v>
      </c>
      <c r="E186" s="6" t="n">
        <v>20</v>
      </c>
      <c r="F186" s="6" t="n">
        <v>294</v>
      </c>
      <c r="G186" s="6" t="n">
        <v>259</v>
      </c>
      <c r="H186" s="6" t="n">
        <v>24</v>
      </c>
      <c r="I186" s="7" t="n">
        <v>67032</v>
      </c>
      <c r="J186" s="6" t="n">
        <v>11</v>
      </c>
      <c r="K186" s="5" t="s">
        <v>31</v>
      </c>
    </row>
    <row r="187" customFormat="false" ht="15" hidden="false" customHeight="false" outlineLevel="0" collapsed="false">
      <c r="A187" s="8" t="s">
        <v>230</v>
      </c>
      <c r="B187" s="8" t="s">
        <v>227</v>
      </c>
      <c r="C187" s="8" t="s">
        <v>30</v>
      </c>
      <c r="D187" s="9" t="n">
        <v>16</v>
      </c>
      <c r="E187" s="9" t="n">
        <v>20</v>
      </c>
      <c r="F187" s="9" t="n">
        <v>298</v>
      </c>
      <c r="G187" s="9" t="n">
        <v>269</v>
      </c>
      <c r="H187" s="9" t="n">
        <v>20</v>
      </c>
      <c r="I187" s="10" t="n">
        <v>66370</v>
      </c>
      <c r="J187" s="9" t="n">
        <v>10</v>
      </c>
      <c r="K187" s="8" t="s">
        <v>31</v>
      </c>
    </row>
    <row r="188" customFormat="false" ht="15" hidden="false" customHeight="false" outlineLevel="0" collapsed="false">
      <c r="A188" s="5" t="s">
        <v>231</v>
      </c>
      <c r="B188" s="5" t="s">
        <v>227</v>
      </c>
      <c r="C188" s="5" t="s">
        <v>30</v>
      </c>
      <c r="D188" s="6" t="n">
        <v>15</v>
      </c>
      <c r="E188" s="6" t="n">
        <v>20</v>
      </c>
      <c r="F188" s="6" t="n">
        <v>269</v>
      </c>
      <c r="G188" s="6" t="n">
        <v>245</v>
      </c>
      <c r="H188" s="6" t="n">
        <v>15</v>
      </c>
      <c r="I188" s="7" t="n">
        <v>68614</v>
      </c>
      <c r="J188" s="6" t="n">
        <v>7</v>
      </c>
      <c r="K188" s="5" t="s">
        <v>31</v>
      </c>
    </row>
    <row r="189" customFormat="false" ht="15" hidden="false" customHeight="false" outlineLevel="0" collapsed="false">
      <c r="A189" s="8" t="s">
        <v>232</v>
      </c>
      <c r="B189" s="8" t="s">
        <v>227</v>
      </c>
      <c r="C189" s="8" t="s">
        <v>37</v>
      </c>
      <c r="D189" s="9" t="n">
        <v>23</v>
      </c>
      <c r="E189" s="9" t="n">
        <v>20</v>
      </c>
      <c r="F189" s="9" t="n">
        <v>530</v>
      </c>
      <c r="G189" s="9" t="n">
        <v>514</v>
      </c>
      <c r="H189" s="9" t="n">
        <v>23</v>
      </c>
      <c r="I189" s="10" t="n">
        <v>85189</v>
      </c>
      <c r="J189" s="9" t="n">
        <v>8</v>
      </c>
      <c r="K189" s="8" t="s">
        <v>31</v>
      </c>
    </row>
    <row r="190" customFormat="false" ht="15" hidden="false" customHeight="false" outlineLevel="0" collapsed="false">
      <c r="A190" s="5" t="s">
        <v>233</v>
      </c>
      <c r="B190" s="5" t="s">
        <v>227</v>
      </c>
      <c r="C190" s="5" t="s">
        <v>37</v>
      </c>
      <c r="D190" s="6" t="n">
        <v>22</v>
      </c>
      <c r="E190" s="6" t="n">
        <v>20</v>
      </c>
      <c r="F190" s="6" t="n">
        <v>538</v>
      </c>
      <c r="G190" s="6" t="n">
        <v>513</v>
      </c>
      <c r="H190" s="6" t="n">
        <v>20</v>
      </c>
      <c r="I190" s="7" t="n">
        <v>83251</v>
      </c>
      <c r="J190" s="6" t="n">
        <v>7</v>
      </c>
      <c r="K190" s="5" t="s">
        <v>31</v>
      </c>
    </row>
    <row r="191" customFormat="false" ht="15" hidden="false" customHeight="false" outlineLevel="0" collapsed="false">
      <c r="A191" s="8" t="s">
        <v>234</v>
      </c>
      <c r="B191" s="8" t="s">
        <v>227</v>
      </c>
      <c r="C191" s="8" t="s">
        <v>37</v>
      </c>
      <c r="D191" s="9" t="n">
        <v>19</v>
      </c>
      <c r="E191" s="9" t="n">
        <v>20</v>
      </c>
      <c r="F191" s="9" t="n">
        <v>531</v>
      </c>
      <c r="G191" s="9" t="n">
        <v>527</v>
      </c>
      <c r="H191" s="9" t="n">
        <v>22</v>
      </c>
      <c r="I191" s="10" t="n">
        <v>85435</v>
      </c>
      <c r="J191" s="9" t="n">
        <v>9</v>
      </c>
      <c r="K191" s="8" t="s">
        <v>31</v>
      </c>
    </row>
    <row r="192" customFormat="false" ht="15" hidden="false" customHeight="false" outlineLevel="0" collapsed="false">
      <c r="A192" s="5" t="s">
        <v>235</v>
      </c>
      <c r="B192" s="5" t="s">
        <v>227</v>
      </c>
      <c r="C192" s="5" t="s">
        <v>37</v>
      </c>
      <c r="D192" s="6" t="n">
        <v>21</v>
      </c>
      <c r="E192" s="6" t="n">
        <v>20</v>
      </c>
      <c r="F192" s="6" t="n">
        <v>507</v>
      </c>
      <c r="G192" s="6" t="n">
        <v>513</v>
      </c>
      <c r="H192" s="6" t="n">
        <v>21</v>
      </c>
      <c r="I192" s="7" t="n">
        <v>82343</v>
      </c>
      <c r="J192" s="6" t="n">
        <v>8</v>
      </c>
      <c r="K192" s="5" t="s">
        <v>31</v>
      </c>
    </row>
    <row r="193" customFormat="false" ht="15" hidden="false" customHeight="false" outlineLevel="0" collapsed="false">
      <c r="A193" s="8" t="s">
        <v>236</v>
      </c>
      <c r="B193" s="8" t="s">
        <v>227</v>
      </c>
      <c r="C193" s="8" t="s">
        <v>37</v>
      </c>
      <c r="D193" s="9" t="n">
        <v>18</v>
      </c>
      <c r="E193" s="9" t="n">
        <v>20</v>
      </c>
      <c r="F193" s="9" t="n">
        <v>525</v>
      </c>
      <c r="G193" s="9" t="n">
        <v>499</v>
      </c>
      <c r="H193" s="9" t="n">
        <v>29</v>
      </c>
      <c r="I193" s="10" t="n">
        <v>85285</v>
      </c>
      <c r="J193" s="9" t="n">
        <v>9</v>
      </c>
      <c r="K193" s="8" t="s">
        <v>31</v>
      </c>
    </row>
    <row r="194" customFormat="false" ht="15" hidden="false" customHeight="false" outlineLevel="0" collapsed="false">
      <c r="A194" s="5" t="s">
        <v>237</v>
      </c>
      <c r="B194" s="5" t="s">
        <v>227</v>
      </c>
      <c r="C194" s="5" t="s">
        <v>43</v>
      </c>
      <c r="D194" s="6" t="n">
        <v>16</v>
      </c>
      <c r="E194" s="6" t="n">
        <v>20</v>
      </c>
      <c r="F194" s="6" t="n">
        <v>208</v>
      </c>
      <c r="G194" s="6" t="n">
        <v>197</v>
      </c>
      <c r="H194" s="6" t="n">
        <v>31</v>
      </c>
      <c r="I194" s="7" t="n">
        <v>79840</v>
      </c>
      <c r="J194" s="6" t="n">
        <v>12</v>
      </c>
      <c r="K194" s="5" t="s">
        <v>31</v>
      </c>
    </row>
    <row r="195" customFormat="false" ht="15" hidden="false" customHeight="false" outlineLevel="0" collapsed="false">
      <c r="A195" s="8" t="s">
        <v>238</v>
      </c>
      <c r="B195" s="8" t="s">
        <v>227</v>
      </c>
      <c r="C195" s="8" t="s">
        <v>43</v>
      </c>
      <c r="D195" s="9" t="n">
        <v>14</v>
      </c>
      <c r="E195" s="9" t="n">
        <v>20</v>
      </c>
      <c r="F195" s="9" t="n">
        <v>229</v>
      </c>
      <c r="G195" s="9" t="n">
        <v>220</v>
      </c>
      <c r="H195" s="9" t="n">
        <v>35</v>
      </c>
      <c r="I195" s="10" t="n">
        <v>74545</v>
      </c>
      <c r="J195" s="9" t="n">
        <v>21</v>
      </c>
      <c r="K195" s="8" t="s">
        <v>31</v>
      </c>
    </row>
    <row r="196" customFormat="false" ht="15" hidden="false" customHeight="false" outlineLevel="0" collapsed="false">
      <c r="A196" s="5" t="s">
        <v>239</v>
      </c>
      <c r="B196" s="5" t="s">
        <v>227</v>
      </c>
      <c r="C196" s="5" t="s">
        <v>43</v>
      </c>
      <c r="D196" s="6" t="n">
        <v>13</v>
      </c>
      <c r="E196" s="6" t="n">
        <v>20</v>
      </c>
      <c r="F196" s="6" t="n">
        <v>230</v>
      </c>
      <c r="G196" s="6" t="n">
        <v>209</v>
      </c>
      <c r="H196" s="6" t="n">
        <v>25</v>
      </c>
      <c r="I196" s="7" t="n">
        <v>68334</v>
      </c>
      <c r="J196" s="6" t="n">
        <v>22</v>
      </c>
      <c r="K196" s="5" t="s">
        <v>31</v>
      </c>
    </row>
    <row r="197" customFormat="false" ht="15" hidden="false" customHeight="false" outlineLevel="0" collapsed="false">
      <c r="A197" s="8" t="s">
        <v>240</v>
      </c>
      <c r="B197" s="8" t="s">
        <v>227</v>
      </c>
      <c r="C197" s="8" t="s">
        <v>43</v>
      </c>
      <c r="D197" s="9" t="n">
        <v>16</v>
      </c>
      <c r="E197" s="9" t="n">
        <v>20</v>
      </c>
      <c r="F197" s="9" t="n">
        <v>207</v>
      </c>
      <c r="G197" s="9" t="n">
        <v>210</v>
      </c>
      <c r="H197" s="9" t="n">
        <v>27</v>
      </c>
      <c r="I197" s="10" t="n">
        <v>81889</v>
      </c>
      <c r="J197" s="9" t="n">
        <v>24</v>
      </c>
      <c r="K197" s="8" t="s">
        <v>31</v>
      </c>
    </row>
    <row r="198" customFormat="false" ht="15" hidden="false" customHeight="false" outlineLevel="0" collapsed="false">
      <c r="A198" s="5" t="s">
        <v>241</v>
      </c>
      <c r="B198" s="5" t="s">
        <v>227</v>
      </c>
      <c r="C198" s="5" t="s">
        <v>43</v>
      </c>
      <c r="D198" s="6" t="n">
        <v>15</v>
      </c>
      <c r="E198" s="6" t="n">
        <v>20</v>
      </c>
      <c r="F198" s="6" t="n">
        <v>224</v>
      </c>
      <c r="G198" s="6" t="n">
        <v>221</v>
      </c>
      <c r="H198" s="6" t="n">
        <v>36</v>
      </c>
      <c r="I198" s="7" t="n">
        <v>79546</v>
      </c>
      <c r="J198" s="6" t="n">
        <v>25</v>
      </c>
      <c r="K198" s="5" t="s">
        <v>31</v>
      </c>
    </row>
    <row r="199" customFormat="false" ht="15" hidden="false" customHeight="false" outlineLevel="0" collapsed="false">
      <c r="A199" s="8" t="s">
        <v>242</v>
      </c>
      <c r="B199" s="8" t="s">
        <v>227</v>
      </c>
      <c r="C199" s="8" t="s">
        <v>49</v>
      </c>
      <c r="D199" s="9" t="n">
        <v>10</v>
      </c>
      <c r="E199" s="9" t="n">
        <v>20</v>
      </c>
      <c r="F199" s="9" t="n">
        <v>343</v>
      </c>
      <c r="G199" s="9" t="n">
        <v>332</v>
      </c>
      <c r="H199" s="9" t="n">
        <v>15</v>
      </c>
      <c r="I199" s="10" t="n">
        <v>49921</v>
      </c>
      <c r="J199" s="9" t="n">
        <v>2</v>
      </c>
      <c r="K199" s="8" t="s">
        <v>31</v>
      </c>
    </row>
    <row r="200" customFormat="false" ht="15" hidden="false" customHeight="false" outlineLevel="0" collapsed="false">
      <c r="A200" s="5" t="s">
        <v>243</v>
      </c>
      <c r="B200" s="5" t="s">
        <v>227</v>
      </c>
      <c r="C200" s="5" t="s">
        <v>49</v>
      </c>
      <c r="D200" s="6" t="n">
        <v>12</v>
      </c>
      <c r="E200" s="6" t="n">
        <v>20</v>
      </c>
      <c r="F200" s="6" t="n">
        <v>373</v>
      </c>
      <c r="G200" s="6" t="n">
        <v>362</v>
      </c>
      <c r="H200" s="6" t="n">
        <v>13</v>
      </c>
      <c r="I200" s="7" t="n">
        <v>49218</v>
      </c>
      <c r="J200" s="6" t="n">
        <v>3</v>
      </c>
      <c r="K200" s="5" t="s">
        <v>31</v>
      </c>
    </row>
    <row r="201" customFormat="false" ht="15" hidden="false" customHeight="false" outlineLevel="0" collapsed="false">
      <c r="A201" s="8" t="s">
        <v>244</v>
      </c>
      <c r="B201" s="8" t="s">
        <v>227</v>
      </c>
      <c r="C201" s="8" t="s">
        <v>49</v>
      </c>
      <c r="D201" s="9" t="n">
        <v>10</v>
      </c>
      <c r="E201" s="9" t="n">
        <v>20</v>
      </c>
      <c r="F201" s="9" t="n">
        <v>346</v>
      </c>
      <c r="G201" s="9" t="n">
        <v>329</v>
      </c>
      <c r="H201" s="9" t="n">
        <v>11</v>
      </c>
      <c r="I201" s="10" t="n">
        <v>48843</v>
      </c>
      <c r="J201" s="9" t="n">
        <v>2</v>
      </c>
      <c r="K201" s="8" t="s">
        <v>31</v>
      </c>
    </row>
    <row r="202" customFormat="false" ht="15" hidden="false" customHeight="false" outlineLevel="0" collapsed="false">
      <c r="A202" s="5" t="s">
        <v>245</v>
      </c>
      <c r="B202" s="5" t="s">
        <v>227</v>
      </c>
      <c r="C202" s="5" t="s">
        <v>49</v>
      </c>
      <c r="D202" s="6" t="n">
        <v>10</v>
      </c>
      <c r="E202" s="6" t="n">
        <v>20</v>
      </c>
      <c r="F202" s="6" t="n">
        <v>345</v>
      </c>
      <c r="G202" s="6" t="n">
        <v>321</v>
      </c>
      <c r="H202" s="6" t="n">
        <v>10</v>
      </c>
      <c r="I202" s="7" t="n">
        <v>50040</v>
      </c>
      <c r="J202" s="6" t="n">
        <v>3</v>
      </c>
      <c r="K202" s="5" t="s">
        <v>31</v>
      </c>
    </row>
    <row r="203" customFormat="false" ht="15" hidden="false" customHeight="false" outlineLevel="0" collapsed="false">
      <c r="A203" s="8" t="s">
        <v>246</v>
      </c>
      <c r="B203" s="8" t="s">
        <v>227</v>
      </c>
      <c r="C203" s="8" t="s">
        <v>49</v>
      </c>
      <c r="D203" s="9" t="n">
        <v>10</v>
      </c>
      <c r="E203" s="9" t="n">
        <v>20</v>
      </c>
      <c r="F203" s="9" t="n">
        <v>358</v>
      </c>
      <c r="G203" s="9" t="n">
        <v>345</v>
      </c>
      <c r="H203" s="9" t="n">
        <v>11</v>
      </c>
      <c r="I203" s="10" t="n">
        <v>51701</v>
      </c>
      <c r="J203" s="9" t="n">
        <v>2</v>
      </c>
      <c r="K203" s="8" t="s">
        <v>31</v>
      </c>
    </row>
    <row r="204" customFormat="false" ht="15" hidden="false" customHeight="false" outlineLevel="0" collapsed="false">
      <c r="A204" s="5" t="s">
        <v>247</v>
      </c>
      <c r="B204" s="5" t="s">
        <v>248</v>
      </c>
      <c r="C204" s="5" t="s">
        <v>30</v>
      </c>
      <c r="D204" s="6" t="n">
        <v>17</v>
      </c>
      <c r="E204" s="6" t="n">
        <v>22</v>
      </c>
      <c r="F204" s="6" t="n">
        <v>278</v>
      </c>
      <c r="G204" s="6" t="n">
        <v>237</v>
      </c>
      <c r="H204" s="6" t="n">
        <v>19</v>
      </c>
      <c r="I204" s="7" t="n">
        <v>66562</v>
      </c>
      <c r="J204" s="6" t="n">
        <v>6</v>
      </c>
      <c r="K204" s="5" t="s">
        <v>31</v>
      </c>
    </row>
    <row r="205" customFormat="false" ht="15" hidden="false" customHeight="false" outlineLevel="0" collapsed="false">
      <c r="A205" s="8" t="s">
        <v>249</v>
      </c>
      <c r="B205" s="8" t="s">
        <v>248</v>
      </c>
      <c r="C205" s="8" t="s">
        <v>30</v>
      </c>
      <c r="D205" s="9" t="n">
        <v>18</v>
      </c>
      <c r="E205" s="9" t="n">
        <v>22</v>
      </c>
      <c r="F205" s="9" t="n">
        <v>260</v>
      </c>
      <c r="G205" s="9" t="n">
        <v>230</v>
      </c>
      <c r="H205" s="9" t="n">
        <v>18</v>
      </c>
      <c r="I205" s="10" t="n">
        <v>69207</v>
      </c>
      <c r="J205" s="9" t="n">
        <v>5</v>
      </c>
      <c r="K205" s="8" t="s">
        <v>31</v>
      </c>
    </row>
    <row r="206" customFormat="false" ht="15" hidden="false" customHeight="false" outlineLevel="0" collapsed="false">
      <c r="A206" s="5" t="s">
        <v>250</v>
      </c>
      <c r="B206" s="5" t="s">
        <v>248</v>
      </c>
      <c r="C206" s="5" t="s">
        <v>30</v>
      </c>
      <c r="D206" s="6" t="n">
        <v>15</v>
      </c>
      <c r="E206" s="6" t="n">
        <v>22</v>
      </c>
      <c r="F206" s="6" t="n">
        <v>288</v>
      </c>
      <c r="G206" s="6" t="n">
        <v>256</v>
      </c>
      <c r="H206" s="6" t="n">
        <v>21</v>
      </c>
      <c r="I206" s="7" t="n">
        <v>62313</v>
      </c>
      <c r="J206" s="6" t="n">
        <v>7</v>
      </c>
      <c r="K206" s="5" t="s">
        <v>31</v>
      </c>
    </row>
    <row r="207" customFormat="false" ht="15" hidden="false" customHeight="false" outlineLevel="0" collapsed="false">
      <c r="A207" s="8" t="s">
        <v>251</v>
      </c>
      <c r="B207" s="8" t="s">
        <v>248</v>
      </c>
      <c r="C207" s="8" t="s">
        <v>30</v>
      </c>
      <c r="D207" s="9" t="n">
        <v>18</v>
      </c>
      <c r="E207" s="9" t="n">
        <v>22</v>
      </c>
      <c r="F207" s="9" t="n">
        <v>283</v>
      </c>
      <c r="G207" s="9" t="n">
        <v>261</v>
      </c>
      <c r="H207" s="9" t="n">
        <v>17</v>
      </c>
      <c r="I207" s="10" t="n">
        <v>68165</v>
      </c>
      <c r="J207" s="9" t="n">
        <v>9</v>
      </c>
      <c r="K207" s="8" t="s">
        <v>31</v>
      </c>
    </row>
    <row r="208" customFormat="false" ht="15" hidden="false" customHeight="false" outlineLevel="0" collapsed="false">
      <c r="A208" s="5" t="s">
        <v>252</v>
      </c>
      <c r="B208" s="5" t="s">
        <v>248</v>
      </c>
      <c r="C208" s="5" t="s">
        <v>30</v>
      </c>
      <c r="D208" s="6" t="n">
        <v>14</v>
      </c>
      <c r="E208" s="6" t="n">
        <v>22</v>
      </c>
      <c r="F208" s="6" t="n">
        <v>275</v>
      </c>
      <c r="G208" s="6" t="n">
        <v>252</v>
      </c>
      <c r="H208" s="6" t="n">
        <v>16</v>
      </c>
      <c r="I208" s="7" t="n">
        <v>65361</v>
      </c>
      <c r="J208" s="6" t="n">
        <v>8</v>
      </c>
      <c r="K208" s="5" t="s">
        <v>31</v>
      </c>
    </row>
    <row r="209" customFormat="false" ht="15" hidden="false" customHeight="false" outlineLevel="0" collapsed="false">
      <c r="A209" s="8" t="s">
        <v>253</v>
      </c>
      <c r="B209" s="8" t="s">
        <v>248</v>
      </c>
      <c r="C209" s="8" t="s">
        <v>37</v>
      </c>
      <c r="D209" s="9" t="n">
        <v>21</v>
      </c>
      <c r="E209" s="9" t="n">
        <v>22</v>
      </c>
      <c r="F209" s="9" t="n">
        <v>506</v>
      </c>
      <c r="G209" s="9" t="n">
        <v>514</v>
      </c>
      <c r="H209" s="9" t="n">
        <v>31</v>
      </c>
      <c r="I209" s="10" t="n">
        <v>84687</v>
      </c>
      <c r="J209" s="9" t="n">
        <v>5</v>
      </c>
      <c r="K209" s="8" t="s">
        <v>31</v>
      </c>
    </row>
    <row r="210" customFormat="false" ht="15" hidden="false" customHeight="false" outlineLevel="0" collapsed="false">
      <c r="A210" s="5" t="s">
        <v>254</v>
      </c>
      <c r="B210" s="5" t="s">
        <v>248</v>
      </c>
      <c r="C210" s="5" t="s">
        <v>37</v>
      </c>
      <c r="D210" s="6" t="n">
        <v>18</v>
      </c>
      <c r="E210" s="6" t="n">
        <v>22</v>
      </c>
      <c r="F210" s="6" t="n">
        <v>519</v>
      </c>
      <c r="G210" s="6" t="n">
        <v>493</v>
      </c>
      <c r="H210" s="6" t="n">
        <v>23</v>
      </c>
      <c r="I210" s="7" t="n">
        <v>89186</v>
      </c>
      <c r="J210" s="6" t="n">
        <v>9</v>
      </c>
      <c r="K210" s="5" t="s">
        <v>31</v>
      </c>
    </row>
    <row r="211" customFormat="false" ht="15" hidden="false" customHeight="false" outlineLevel="0" collapsed="false">
      <c r="A211" s="8" t="s">
        <v>255</v>
      </c>
      <c r="B211" s="8" t="s">
        <v>248</v>
      </c>
      <c r="C211" s="8" t="s">
        <v>37</v>
      </c>
      <c r="D211" s="9" t="n">
        <v>19</v>
      </c>
      <c r="E211" s="9" t="n">
        <v>22</v>
      </c>
      <c r="F211" s="9" t="n">
        <v>501</v>
      </c>
      <c r="G211" s="9" t="n">
        <v>476</v>
      </c>
      <c r="H211" s="9" t="n">
        <v>20</v>
      </c>
      <c r="I211" s="10" t="n">
        <v>85246</v>
      </c>
      <c r="J211" s="9" t="n">
        <v>7</v>
      </c>
      <c r="K211" s="8" t="s">
        <v>31</v>
      </c>
    </row>
    <row r="212" customFormat="false" ht="15" hidden="false" customHeight="false" outlineLevel="0" collapsed="false">
      <c r="A212" s="5" t="s">
        <v>256</v>
      </c>
      <c r="B212" s="5" t="s">
        <v>248</v>
      </c>
      <c r="C212" s="5" t="s">
        <v>37</v>
      </c>
      <c r="D212" s="6" t="n">
        <v>20</v>
      </c>
      <c r="E212" s="6" t="n">
        <v>22</v>
      </c>
      <c r="F212" s="6" t="n">
        <v>492</v>
      </c>
      <c r="G212" s="6" t="n">
        <v>510</v>
      </c>
      <c r="H212" s="6" t="n">
        <v>27</v>
      </c>
      <c r="I212" s="7" t="n">
        <v>89985</v>
      </c>
      <c r="J212" s="6" t="n">
        <v>6</v>
      </c>
      <c r="K212" s="5" t="s">
        <v>31</v>
      </c>
    </row>
    <row r="213" customFormat="false" ht="15" hidden="false" customHeight="false" outlineLevel="0" collapsed="false">
      <c r="A213" s="8" t="s">
        <v>257</v>
      </c>
      <c r="B213" s="8" t="s">
        <v>248</v>
      </c>
      <c r="C213" s="8" t="s">
        <v>37</v>
      </c>
      <c r="D213" s="9" t="n">
        <v>21</v>
      </c>
      <c r="E213" s="9" t="n">
        <v>22</v>
      </c>
      <c r="F213" s="9" t="n">
        <v>494</v>
      </c>
      <c r="G213" s="9" t="n">
        <v>482</v>
      </c>
      <c r="H213" s="9" t="n">
        <v>27</v>
      </c>
      <c r="I213" s="10" t="n">
        <v>87753</v>
      </c>
      <c r="J213" s="9" t="n">
        <v>7</v>
      </c>
      <c r="K213" s="8" t="s">
        <v>31</v>
      </c>
    </row>
    <row r="214" customFormat="false" ht="15" hidden="false" customHeight="false" outlineLevel="0" collapsed="false">
      <c r="A214" s="5" t="s">
        <v>258</v>
      </c>
      <c r="B214" s="5" t="s">
        <v>248</v>
      </c>
      <c r="C214" s="5" t="s">
        <v>43</v>
      </c>
      <c r="D214" s="6" t="n">
        <v>14</v>
      </c>
      <c r="E214" s="6" t="n">
        <v>22</v>
      </c>
      <c r="F214" s="6" t="n">
        <v>209</v>
      </c>
      <c r="G214" s="6" t="n">
        <v>220</v>
      </c>
      <c r="H214" s="6" t="n">
        <v>35</v>
      </c>
      <c r="I214" s="7" t="n">
        <v>82968</v>
      </c>
      <c r="J214" s="6" t="n">
        <v>19</v>
      </c>
      <c r="K214" s="5" t="s">
        <v>31</v>
      </c>
    </row>
    <row r="215" customFormat="false" ht="15" hidden="false" customHeight="false" outlineLevel="0" collapsed="false">
      <c r="A215" s="8" t="s">
        <v>259</v>
      </c>
      <c r="B215" s="8" t="s">
        <v>248</v>
      </c>
      <c r="C215" s="8" t="s">
        <v>43</v>
      </c>
      <c r="D215" s="9" t="n">
        <v>12</v>
      </c>
      <c r="E215" s="9" t="n">
        <v>22</v>
      </c>
      <c r="F215" s="9" t="n">
        <v>203</v>
      </c>
      <c r="G215" s="9" t="n">
        <v>191</v>
      </c>
      <c r="H215" s="9" t="n">
        <v>31</v>
      </c>
      <c r="I215" s="10" t="n">
        <v>79271</v>
      </c>
      <c r="J215" s="9" t="n">
        <v>14</v>
      </c>
      <c r="K215" s="8" t="s">
        <v>31</v>
      </c>
    </row>
    <row r="216" customFormat="false" ht="15" hidden="false" customHeight="false" outlineLevel="0" collapsed="false">
      <c r="A216" s="5" t="s">
        <v>260</v>
      </c>
      <c r="B216" s="5" t="s">
        <v>248</v>
      </c>
      <c r="C216" s="5" t="s">
        <v>43</v>
      </c>
      <c r="D216" s="6" t="n">
        <v>15</v>
      </c>
      <c r="E216" s="6" t="n">
        <v>22</v>
      </c>
      <c r="F216" s="6" t="n">
        <v>197</v>
      </c>
      <c r="G216" s="6" t="n">
        <v>189</v>
      </c>
      <c r="H216" s="6" t="n">
        <v>21</v>
      </c>
      <c r="I216" s="7" t="n">
        <v>76727</v>
      </c>
      <c r="J216" s="6" t="n">
        <v>13</v>
      </c>
      <c r="K216" s="5" t="s">
        <v>31</v>
      </c>
    </row>
    <row r="217" customFormat="false" ht="15" hidden="false" customHeight="false" outlineLevel="0" collapsed="false">
      <c r="A217" s="8" t="s">
        <v>261</v>
      </c>
      <c r="B217" s="8" t="s">
        <v>248</v>
      </c>
      <c r="C217" s="8" t="s">
        <v>43</v>
      </c>
      <c r="D217" s="9" t="n">
        <v>13</v>
      </c>
      <c r="E217" s="9" t="n">
        <v>22</v>
      </c>
      <c r="F217" s="9" t="n">
        <v>208</v>
      </c>
      <c r="G217" s="9" t="n">
        <v>202</v>
      </c>
      <c r="H217" s="9" t="n">
        <v>25</v>
      </c>
      <c r="I217" s="10" t="n">
        <v>80619</v>
      </c>
      <c r="J217" s="9" t="n">
        <v>20</v>
      </c>
      <c r="K217" s="8" t="s">
        <v>31</v>
      </c>
    </row>
    <row r="218" customFormat="false" ht="15" hidden="false" customHeight="false" outlineLevel="0" collapsed="false">
      <c r="A218" s="5" t="s">
        <v>262</v>
      </c>
      <c r="B218" s="5" t="s">
        <v>248</v>
      </c>
      <c r="C218" s="5" t="s">
        <v>43</v>
      </c>
      <c r="D218" s="6" t="n">
        <v>16</v>
      </c>
      <c r="E218" s="6" t="n">
        <v>22</v>
      </c>
      <c r="F218" s="6" t="n">
        <v>204</v>
      </c>
      <c r="G218" s="6" t="n">
        <v>195</v>
      </c>
      <c r="H218" s="6" t="n">
        <v>32</v>
      </c>
      <c r="I218" s="7" t="n">
        <v>76627</v>
      </c>
      <c r="J218" s="6" t="n">
        <v>19</v>
      </c>
      <c r="K218" s="5" t="s">
        <v>31</v>
      </c>
    </row>
    <row r="219" customFormat="false" ht="15" hidden="false" customHeight="false" outlineLevel="0" collapsed="false">
      <c r="A219" s="8" t="s">
        <v>263</v>
      </c>
      <c r="B219" s="8" t="s">
        <v>248</v>
      </c>
      <c r="C219" s="8" t="s">
        <v>49</v>
      </c>
      <c r="D219" s="9" t="n">
        <v>12</v>
      </c>
      <c r="E219" s="9" t="n">
        <v>22</v>
      </c>
      <c r="F219" s="9" t="n">
        <v>350</v>
      </c>
      <c r="G219" s="9" t="n">
        <v>313</v>
      </c>
      <c r="H219" s="9" t="n">
        <v>12</v>
      </c>
      <c r="I219" s="10" t="n">
        <v>49036</v>
      </c>
      <c r="J219" s="9" t="n">
        <v>3</v>
      </c>
      <c r="K219" s="8" t="s">
        <v>31</v>
      </c>
    </row>
    <row r="220" customFormat="false" ht="15" hidden="false" customHeight="false" outlineLevel="0" collapsed="false">
      <c r="A220" s="5" t="s">
        <v>264</v>
      </c>
      <c r="B220" s="5" t="s">
        <v>248</v>
      </c>
      <c r="C220" s="5" t="s">
        <v>49</v>
      </c>
      <c r="D220" s="6" t="n">
        <v>9</v>
      </c>
      <c r="E220" s="6" t="n">
        <v>22</v>
      </c>
      <c r="F220" s="6" t="n">
        <v>358</v>
      </c>
      <c r="G220" s="6" t="n">
        <v>341</v>
      </c>
      <c r="H220" s="6" t="n">
        <v>13</v>
      </c>
      <c r="I220" s="7" t="n">
        <v>50515</v>
      </c>
      <c r="J220" s="6" t="n">
        <v>2</v>
      </c>
      <c r="K220" s="5" t="s">
        <v>31</v>
      </c>
    </row>
    <row r="221" customFormat="false" ht="15" hidden="false" customHeight="false" outlineLevel="0" collapsed="false">
      <c r="A221" s="8" t="s">
        <v>265</v>
      </c>
      <c r="B221" s="8" t="s">
        <v>248</v>
      </c>
      <c r="C221" s="8" t="s">
        <v>49</v>
      </c>
      <c r="D221" s="9" t="n">
        <v>9</v>
      </c>
      <c r="E221" s="9" t="n">
        <v>22</v>
      </c>
      <c r="F221" s="9" t="n">
        <v>332</v>
      </c>
      <c r="G221" s="9" t="n">
        <v>310</v>
      </c>
      <c r="H221" s="9" t="n">
        <v>12</v>
      </c>
      <c r="I221" s="10" t="n">
        <v>48339</v>
      </c>
      <c r="J221" s="9" t="n">
        <v>2</v>
      </c>
      <c r="K221" s="8" t="s">
        <v>31</v>
      </c>
    </row>
    <row r="222" customFormat="false" ht="15" hidden="false" customHeight="false" outlineLevel="0" collapsed="false">
      <c r="A222" s="5" t="s">
        <v>266</v>
      </c>
      <c r="B222" s="5" t="s">
        <v>248</v>
      </c>
      <c r="C222" s="5" t="s">
        <v>49</v>
      </c>
      <c r="D222" s="6" t="n">
        <v>12</v>
      </c>
      <c r="E222" s="6" t="n">
        <v>22</v>
      </c>
      <c r="F222" s="6" t="n">
        <v>341</v>
      </c>
      <c r="G222" s="6" t="n">
        <v>340</v>
      </c>
      <c r="H222" s="6" t="n">
        <v>13</v>
      </c>
      <c r="I222" s="7" t="n">
        <v>49315</v>
      </c>
      <c r="J222" s="6" t="n">
        <v>2</v>
      </c>
      <c r="K222" s="5" t="s">
        <v>31</v>
      </c>
    </row>
    <row r="223" customFormat="false" ht="15" hidden="false" customHeight="false" outlineLevel="0" collapsed="false">
      <c r="A223" s="8" t="s">
        <v>267</v>
      </c>
      <c r="B223" s="8" t="s">
        <v>248</v>
      </c>
      <c r="C223" s="8" t="s">
        <v>49</v>
      </c>
      <c r="D223" s="9" t="n">
        <v>9</v>
      </c>
      <c r="E223" s="9" t="n">
        <v>22</v>
      </c>
      <c r="F223" s="9" t="n">
        <v>340</v>
      </c>
      <c r="G223" s="9" t="n">
        <v>329</v>
      </c>
      <c r="H223" s="9" t="n">
        <v>11</v>
      </c>
      <c r="I223" s="10" t="n">
        <v>52173</v>
      </c>
      <c r="J223" s="9" t="n">
        <v>3</v>
      </c>
      <c r="K223" s="8" t="s">
        <v>31</v>
      </c>
    </row>
    <row r="224" customFormat="false" ht="15" hidden="false" customHeight="false" outlineLevel="0" collapsed="false">
      <c r="A224" s="5" t="s">
        <v>268</v>
      </c>
      <c r="B224" s="5" t="s">
        <v>269</v>
      </c>
      <c r="C224" s="5" t="s">
        <v>30</v>
      </c>
      <c r="D224" s="6" t="n">
        <v>14</v>
      </c>
      <c r="E224" s="6" t="n">
        <v>22</v>
      </c>
      <c r="F224" s="6" t="n">
        <v>244</v>
      </c>
      <c r="G224" s="6" t="n">
        <v>225</v>
      </c>
      <c r="H224" s="6" t="n">
        <v>17</v>
      </c>
      <c r="I224" s="7" t="n">
        <v>68974</v>
      </c>
      <c r="J224" s="6" t="n">
        <v>10</v>
      </c>
      <c r="K224" s="5" t="s">
        <v>31</v>
      </c>
    </row>
    <row r="225" customFormat="false" ht="15" hidden="false" customHeight="false" outlineLevel="0" collapsed="false">
      <c r="A225" s="8" t="s">
        <v>270</v>
      </c>
      <c r="B225" s="8" t="s">
        <v>269</v>
      </c>
      <c r="C225" s="8" t="s">
        <v>30</v>
      </c>
      <c r="D225" s="9" t="n">
        <v>15</v>
      </c>
      <c r="E225" s="9" t="n">
        <v>22</v>
      </c>
      <c r="F225" s="9" t="n">
        <v>259</v>
      </c>
      <c r="G225" s="9" t="n">
        <v>237</v>
      </c>
      <c r="H225" s="9" t="n">
        <v>21</v>
      </c>
      <c r="I225" s="10" t="n">
        <v>70699</v>
      </c>
      <c r="J225" s="9" t="n">
        <v>6</v>
      </c>
      <c r="K225" s="8" t="s">
        <v>31</v>
      </c>
    </row>
    <row r="226" customFormat="false" ht="15" hidden="false" customHeight="false" outlineLevel="0" collapsed="false">
      <c r="A226" s="5" t="s">
        <v>271</v>
      </c>
      <c r="B226" s="5" t="s">
        <v>269</v>
      </c>
      <c r="C226" s="5" t="s">
        <v>30</v>
      </c>
      <c r="D226" s="6" t="n">
        <v>18</v>
      </c>
      <c r="E226" s="6" t="n">
        <v>22</v>
      </c>
      <c r="F226" s="6" t="n">
        <v>247</v>
      </c>
      <c r="G226" s="6" t="n">
        <v>224</v>
      </c>
      <c r="H226" s="6" t="n">
        <v>14</v>
      </c>
      <c r="I226" s="7" t="n">
        <v>67761</v>
      </c>
      <c r="J226" s="6" t="n">
        <v>6</v>
      </c>
      <c r="K226" s="5" t="s">
        <v>31</v>
      </c>
    </row>
    <row r="227" customFormat="false" ht="15" hidden="false" customHeight="false" outlineLevel="0" collapsed="false">
      <c r="A227" s="8" t="s">
        <v>272</v>
      </c>
      <c r="B227" s="8" t="s">
        <v>269</v>
      </c>
      <c r="C227" s="8" t="s">
        <v>30</v>
      </c>
      <c r="D227" s="9" t="n">
        <v>15</v>
      </c>
      <c r="E227" s="9" t="n">
        <v>22</v>
      </c>
      <c r="F227" s="9" t="n">
        <v>253</v>
      </c>
      <c r="G227" s="9" t="n">
        <v>255</v>
      </c>
      <c r="H227" s="9" t="n">
        <v>20</v>
      </c>
      <c r="I227" s="10" t="n">
        <v>67307</v>
      </c>
      <c r="J227" s="9" t="n">
        <v>7</v>
      </c>
      <c r="K227" s="8" t="s">
        <v>31</v>
      </c>
    </row>
    <row r="228" customFormat="false" ht="15" hidden="false" customHeight="false" outlineLevel="0" collapsed="false">
      <c r="A228" s="5" t="s">
        <v>273</v>
      </c>
      <c r="B228" s="5" t="s">
        <v>269</v>
      </c>
      <c r="C228" s="5" t="s">
        <v>30</v>
      </c>
      <c r="D228" s="6" t="n">
        <v>16</v>
      </c>
      <c r="E228" s="6" t="n">
        <v>22</v>
      </c>
      <c r="F228" s="6" t="n">
        <v>236</v>
      </c>
      <c r="G228" s="6" t="n">
        <v>221</v>
      </c>
      <c r="H228" s="6" t="n">
        <v>15</v>
      </c>
      <c r="I228" s="7" t="n">
        <v>69387</v>
      </c>
      <c r="J228" s="6" t="n">
        <v>5</v>
      </c>
      <c r="K228" s="5" t="s">
        <v>31</v>
      </c>
    </row>
    <row r="229" customFormat="false" ht="15" hidden="false" customHeight="false" outlineLevel="0" collapsed="false">
      <c r="A229" s="8" t="s">
        <v>274</v>
      </c>
      <c r="B229" s="8" t="s">
        <v>269</v>
      </c>
      <c r="C229" s="8" t="s">
        <v>37</v>
      </c>
      <c r="D229" s="9" t="n">
        <v>22</v>
      </c>
      <c r="E229" s="9" t="n">
        <v>22</v>
      </c>
      <c r="F229" s="9" t="n">
        <v>436</v>
      </c>
      <c r="G229" s="9" t="n">
        <v>444</v>
      </c>
      <c r="H229" s="9" t="n">
        <v>25</v>
      </c>
      <c r="I229" s="10" t="n">
        <v>87604</v>
      </c>
      <c r="J229" s="9" t="n">
        <v>7</v>
      </c>
      <c r="K229" s="8" t="s">
        <v>31</v>
      </c>
    </row>
    <row r="230" customFormat="false" ht="15" hidden="false" customHeight="false" outlineLevel="0" collapsed="false">
      <c r="A230" s="5" t="s">
        <v>275</v>
      </c>
      <c r="B230" s="5" t="s">
        <v>269</v>
      </c>
      <c r="C230" s="5" t="s">
        <v>37</v>
      </c>
      <c r="D230" s="6" t="n">
        <v>24</v>
      </c>
      <c r="E230" s="6" t="n">
        <v>22</v>
      </c>
      <c r="F230" s="6" t="n">
        <v>430</v>
      </c>
      <c r="G230" s="6" t="n">
        <v>412</v>
      </c>
      <c r="H230" s="6" t="n">
        <v>18</v>
      </c>
      <c r="I230" s="7" t="n">
        <v>87322</v>
      </c>
      <c r="J230" s="6" t="n">
        <v>4</v>
      </c>
      <c r="K230" s="5" t="s">
        <v>31</v>
      </c>
    </row>
    <row r="231" customFormat="false" ht="15" hidden="false" customHeight="false" outlineLevel="0" collapsed="false">
      <c r="A231" s="8" t="s">
        <v>276</v>
      </c>
      <c r="B231" s="8" t="s">
        <v>269</v>
      </c>
      <c r="C231" s="8" t="s">
        <v>37</v>
      </c>
      <c r="D231" s="9" t="n">
        <v>24</v>
      </c>
      <c r="E231" s="9" t="n">
        <v>22</v>
      </c>
      <c r="F231" s="9" t="n">
        <v>444</v>
      </c>
      <c r="G231" s="9" t="n">
        <v>433</v>
      </c>
      <c r="H231" s="9" t="n">
        <v>19</v>
      </c>
      <c r="I231" s="10" t="n">
        <v>86581</v>
      </c>
      <c r="J231" s="9" t="n">
        <v>5</v>
      </c>
      <c r="K231" s="8" t="s">
        <v>31</v>
      </c>
    </row>
    <row r="232" customFormat="false" ht="15" hidden="false" customHeight="false" outlineLevel="0" collapsed="false">
      <c r="A232" s="5" t="s">
        <v>277</v>
      </c>
      <c r="B232" s="5" t="s">
        <v>269</v>
      </c>
      <c r="C232" s="5" t="s">
        <v>37</v>
      </c>
      <c r="D232" s="6" t="n">
        <v>20</v>
      </c>
      <c r="E232" s="6" t="n">
        <v>22</v>
      </c>
      <c r="F232" s="6" t="n">
        <v>429</v>
      </c>
      <c r="G232" s="6" t="n">
        <v>419</v>
      </c>
      <c r="H232" s="6" t="n">
        <v>23</v>
      </c>
      <c r="I232" s="7" t="n">
        <v>85482</v>
      </c>
      <c r="J232" s="6" t="n">
        <v>5</v>
      </c>
      <c r="K232" s="5" t="s">
        <v>31</v>
      </c>
    </row>
    <row r="233" customFormat="false" ht="15" hidden="false" customHeight="false" outlineLevel="0" collapsed="false">
      <c r="A233" s="8" t="s">
        <v>278</v>
      </c>
      <c r="B233" s="8" t="s">
        <v>269</v>
      </c>
      <c r="C233" s="8" t="s">
        <v>37</v>
      </c>
      <c r="D233" s="9" t="n">
        <v>19</v>
      </c>
      <c r="E233" s="9" t="n">
        <v>22</v>
      </c>
      <c r="F233" s="9" t="n">
        <v>448</v>
      </c>
      <c r="G233" s="9" t="n">
        <v>406</v>
      </c>
      <c r="H233" s="9" t="n">
        <v>21</v>
      </c>
      <c r="I233" s="10" t="n">
        <v>89166</v>
      </c>
      <c r="J233" s="9" t="n">
        <v>5</v>
      </c>
      <c r="K233" s="8" t="s">
        <v>31</v>
      </c>
    </row>
    <row r="234" customFormat="false" ht="15" hidden="false" customHeight="false" outlineLevel="0" collapsed="false">
      <c r="A234" s="5" t="s">
        <v>279</v>
      </c>
      <c r="B234" s="5" t="s">
        <v>269</v>
      </c>
      <c r="C234" s="5" t="s">
        <v>43</v>
      </c>
      <c r="D234" s="6" t="n">
        <v>15</v>
      </c>
      <c r="E234" s="6" t="n">
        <v>22</v>
      </c>
      <c r="F234" s="6" t="n">
        <v>187</v>
      </c>
      <c r="G234" s="6" t="n">
        <v>174</v>
      </c>
      <c r="H234" s="6" t="n">
        <v>26</v>
      </c>
      <c r="I234" s="7" t="n">
        <v>83153</v>
      </c>
      <c r="J234" s="6" t="n">
        <v>20</v>
      </c>
      <c r="K234" s="5" t="s">
        <v>31</v>
      </c>
    </row>
    <row r="235" customFormat="false" ht="15" hidden="false" customHeight="false" outlineLevel="0" collapsed="false">
      <c r="A235" s="8" t="s">
        <v>280</v>
      </c>
      <c r="B235" s="8" t="s">
        <v>269</v>
      </c>
      <c r="C235" s="8" t="s">
        <v>43</v>
      </c>
      <c r="D235" s="9" t="n">
        <v>12</v>
      </c>
      <c r="E235" s="9" t="n">
        <v>22</v>
      </c>
      <c r="F235" s="9" t="n">
        <v>172</v>
      </c>
      <c r="G235" s="9" t="n">
        <v>163</v>
      </c>
      <c r="H235" s="9" t="n">
        <v>28</v>
      </c>
      <c r="I235" s="10" t="n">
        <v>80343</v>
      </c>
      <c r="J235" s="9" t="n">
        <v>12</v>
      </c>
      <c r="K235" s="8" t="s">
        <v>31</v>
      </c>
    </row>
    <row r="236" customFormat="false" ht="15" hidden="false" customHeight="false" outlineLevel="0" collapsed="false">
      <c r="A236" s="5" t="s">
        <v>281</v>
      </c>
      <c r="B236" s="5" t="s">
        <v>269</v>
      </c>
      <c r="C236" s="5" t="s">
        <v>43</v>
      </c>
      <c r="D236" s="6" t="n">
        <v>12</v>
      </c>
      <c r="E236" s="6" t="n">
        <v>22</v>
      </c>
      <c r="F236" s="6" t="n">
        <v>190</v>
      </c>
      <c r="G236" s="6" t="n">
        <v>183</v>
      </c>
      <c r="H236" s="6" t="n">
        <v>23</v>
      </c>
      <c r="I236" s="7" t="n">
        <v>81630</v>
      </c>
      <c r="J236" s="6" t="n">
        <v>19</v>
      </c>
      <c r="K236" s="5" t="s">
        <v>31</v>
      </c>
    </row>
    <row r="237" customFormat="false" ht="15" hidden="false" customHeight="false" outlineLevel="0" collapsed="false">
      <c r="A237" s="8" t="s">
        <v>282</v>
      </c>
      <c r="B237" s="8" t="s">
        <v>269</v>
      </c>
      <c r="C237" s="8" t="s">
        <v>43</v>
      </c>
      <c r="D237" s="9" t="n">
        <v>12</v>
      </c>
      <c r="E237" s="9" t="n">
        <v>22</v>
      </c>
      <c r="F237" s="9" t="n">
        <v>176</v>
      </c>
      <c r="G237" s="9" t="n">
        <v>172</v>
      </c>
      <c r="H237" s="9" t="n">
        <v>29</v>
      </c>
      <c r="I237" s="10" t="n">
        <v>81102</v>
      </c>
      <c r="J237" s="9" t="n">
        <v>16</v>
      </c>
      <c r="K237" s="8" t="s">
        <v>31</v>
      </c>
    </row>
    <row r="238" customFormat="false" ht="15" hidden="false" customHeight="false" outlineLevel="0" collapsed="false">
      <c r="A238" s="5" t="s">
        <v>283</v>
      </c>
      <c r="B238" s="5" t="s">
        <v>269</v>
      </c>
      <c r="C238" s="5" t="s">
        <v>43</v>
      </c>
      <c r="D238" s="6" t="n">
        <v>16</v>
      </c>
      <c r="E238" s="6" t="n">
        <v>22</v>
      </c>
      <c r="F238" s="6" t="n">
        <v>169</v>
      </c>
      <c r="G238" s="6" t="n">
        <v>151</v>
      </c>
      <c r="H238" s="6" t="n">
        <v>18</v>
      </c>
      <c r="I238" s="7" t="n">
        <v>77780</v>
      </c>
      <c r="J238" s="6" t="n">
        <v>14</v>
      </c>
      <c r="K238" s="5" t="s">
        <v>31</v>
      </c>
    </row>
    <row r="239" customFormat="false" ht="15" hidden="false" customHeight="false" outlineLevel="0" collapsed="false">
      <c r="A239" s="8" t="s">
        <v>284</v>
      </c>
      <c r="B239" s="8" t="s">
        <v>269</v>
      </c>
      <c r="C239" s="8" t="s">
        <v>49</v>
      </c>
      <c r="D239" s="9" t="n">
        <v>8</v>
      </c>
      <c r="E239" s="9" t="n">
        <v>22</v>
      </c>
      <c r="F239" s="9" t="n">
        <v>317</v>
      </c>
      <c r="G239" s="9" t="n">
        <v>320</v>
      </c>
      <c r="H239" s="9" t="n">
        <v>14</v>
      </c>
      <c r="I239" s="10" t="n">
        <v>50852</v>
      </c>
      <c r="J239" s="9" t="n">
        <v>2</v>
      </c>
      <c r="K239" s="8" t="s">
        <v>31</v>
      </c>
    </row>
    <row r="240" customFormat="false" ht="15" hidden="false" customHeight="false" outlineLevel="0" collapsed="false">
      <c r="A240" s="5" t="s">
        <v>285</v>
      </c>
      <c r="B240" s="5" t="s">
        <v>269</v>
      </c>
      <c r="C240" s="5" t="s">
        <v>49</v>
      </c>
      <c r="D240" s="6" t="n">
        <v>8</v>
      </c>
      <c r="E240" s="6" t="n">
        <v>22</v>
      </c>
      <c r="F240" s="6" t="n">
        <v>295</v>
      </c>
      <c r="G240" s="6" t="n">
        <v>283</v>
      </c>
      <c r="H240" s="6" t="n">
        <v>10</v>
      </c>
      <c r="I240" s="7" t="n">
        <v>52721</v>
      </c>
      <c r="J240" s="6" t="n">
        <v>2</v>
      </c>
      <c r="K240" s="5" t="s">
        <v>31</v>
      </c>
    </row>
    <row r="241" customFormat="false" ht="15" hidden="false" customHeight="false" outlineLevel="0" collapsed="false">
      <c r="A241" s="8" t="s">
        <v>286</v>
      </c>
      <c r="B241" s="8" t="s">
        <v>269</v>
      </c>
      <c r="C241" s="8" t="s">
        <v>49</v>
      </c>
      <c r="D241" s="9" t="n">
        <v>9</v>
      </c>
      <c r="E241" s="9" t="n">
        <v>22</v>
      </c>
      <c r="F241" s="9" t="n">
        <v>302</v>
      </c>
      <c r="G241" s="9" t="n">
        <v>288</v>
      </c>
      <c r="H241" s="9" t="n">
        <v>13</v>
      </c>
      <c r="I241" s="10" t="n">
        <v>52397</v>
      </c>
      <c r="J241" s="9" t="n">
        <v>2</v>
      </c>
      <c r="K241" s="8" t="s">
        <v>31</v>
      </c>
    </row>
    <row r="242" customFormat="false" ht="15" hidden="false" customHeight="false" outlineLevel="0" collapsed="false">
      <c r="A242" s="5" t="s">
        <v>287</v>
      </c>
      <c r="B242" s="5" t="s">
        <v>269</v>
      </c>
      <c r="C242" s="5" t="s">
        <v>49</v>
      </c>
      <c r="D242" s="6" t="n">
        <v>8</v>
      </c>
      <c r="E242" s="6" t="n">
        <v>22</v>
      </c>
      <c r="F242" s="6" t="n">
        <v>305</v>
      </c>
      <c r="G242" s="6" t="n">
        <v>282</v>
      </c>
      <c r="H242" s="6" t="n">
        <v>11</v>
      </c>
      <c r="I242" s="7" t="n">
        <v>49026</v>
      </c>
      <c r="J242" s="6" t="n">
        <v>2</v>
      </c>
      <c r="K242" s="5" t="s">
        <v>31</v>
      </c>
    </row>
    <row r="243" customFormat="false" ht="15" hidden="false" customHeight="false" outlineLevel="0" collapsed="false">
      <c r="A243" s="8" t="s">
        <v>288</v>
      </c>
      <c r="B243" s="8" t="s">
        <v>269</v>
      </c>
      <c r="C243" s="8" t="s">
        <v>49</v>
      </c>
      <c r="D243" s="9" t="n">
        <v>11</v>
      </c>
      <c r="E243" s="9" t="n">
        <v>22</v>
      </c>
      <c r="F243" s="9" t="n">
        <v>313</v>
      </c>
      <c r="G243" s="9" t="n">
        <v>284</v>
      </c>
      <c r="H243" s="9" t="n">
        <v>10</v>
      </c>
      <c r="I243" s="10" t="n">
        <v>50773</v>
      </c>
      <c r="J243" s="9" t="n">
        <v>1</v>
      </c>
      <c r="K243" s="8" t="s">
        <v>31</v>
      </c>
    </row>
  </sheetData>
  <autoFilter ref="A1:K2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25"/>
    <col collapsed="false" customWidth="true" hidden="false" outlineLevel="0" max="3" min="3" style="0" width="16"/>
    <col collapsed="false" customWidth="true" hidden="false" outlineLevel="0" max="4" min="4" style="0" width="30"/>
    <col collapsed="false" customWidth="true" hidden="false" outlineLevel="0" max="5" min="5" style="0" width="32"/>
    <col collapsed="false" customWidth="true" hidden="false" outlineLevel="0" max="6" min="6" style="0" width="25"/>
    <col collapsed="false" customWidth="true" hidden="false" outlineLevel="0" max="7" min="7" style="0" width="30"/>
    <col collapsed="false" customWidth="true" hidden="false" outlineLevel="0" max="8" min="8" style="0" width="5"/>
  </cols>
  <sheetData>
    <row r="2" customFormat="false" ht="34.5" hidden="false" customHeight="true" outlineLevel="0" collapsed="false">
      <c r="B2" s="1" t="s">
        <v>289</v>
      </c>
      <c r="C2" s="1"/>
      <c r="D2" s="1"/>
      <c r="E2" s="1"/>
      <c r="F2" s="1"/>
      <c r="G2" s="1"/>
      <c r="H2" s="1"/>
    </row>
    <row r="4" customFormat="false" ht="25.5" hidden="false" customHeight="true" outlineLevel="0" collapsed="false">
      <c r="B4" s="11" t="s">
        <v>290</v>
      </c>
      <c r="C4" s="11" t="s">
        <v>291</v>
      </c>
      <c r="D4" s="11" t="s">
        <v>292</v>
      </c>
      <c r="E4" s="11" t="s">
        <v>293</v>
      </c>
      <c r="F4" s="11" t="s">
        <v>294</v>
      </c>
      <c r="G4" s="11" t="s">
        <v>295</v>
      </c>
    </row>
    <row r="5" customFormat="false" ht="31.5" hidden="false" customHeight="true" outlineLevel="0" collapsed="false">
      <c r="B5" s="12" t="s">
        <v>296</v>
      </c>
      <c r="C5" s="12" t="s">
        <v>297</v>
      </c>
      <c r="D5" s="12" t="s">
        <v>298</v>
      </c>
      <c r="E5" s="12" t="s">
        <v>299</v>
      </c>
      <c r="F5" s="12" t="s">
        <v>300</v>
      </c>
      <c r="G5" s="12" t="s">
        <v>301</v>
      </c>
    </row>
    <row r="6" customFormat="false" ht="31.5" hidden="false" customHeight="true" outlineLevel="0" collapsed="false">
      <c r="B6" s="13" t="s">
        <v>302</v>
      </c>
      <c r="C6" s="13" t="s">
        <v>303</v>
      </c>
      <c r="D6" s="13" t="s">
        <v>304</v>
      </c>
      <c r="E6" s="13" t="s">
        <v>305</v>
      </c>
      <c r="F6" s="13" t="s">
        <v>306</v>
      </c>
      <c r="G6" s="13" t="s">
        <v>307</v>
      </c>
    </row>
    <row r="7" customFormat="false" ht="31.5" hidden="false" customHeight="true" outlineLevel="0" collapsed="false">
      <c r="B7" s="12" t="s">
        <v>308</v>
      </c>
      <c r="C7" s="12" t="s">
        <v>309</v>
      </c>
      <c r="D7" s="12" t="s">
        <v>310</v>
      </c>
      <c r="E7" s="12" t="s">
        <v>311</v>
      </c>
      <c r="F7" s="12" t="s">
        <v>312</v>
      </c>
      <c r="G7" s="12" t="s">
        <v>313</v>
      </c>
    </row>
    <row r="8" customFormat="false" ht="31.5" hidden="false" customHeight="true" outlineLevel="0" collapsed="false">
      <c r="B8" s="13" t="s">
        <v>314</v>
      </c>
      <c r="C8" s="13" t="s">
        <v>315</v>
      </c>
      <c r="D8" s="13" t="s">
        <v>316</v>
      </c>
      <c r="E8" s="13" t="s">
        <v>317</v>
      </c>
      <c r="F8" s="13" t="s">
        <v>318</v>
      </c>
      <c r="G8" s="13" t="s">
        <v>319</v>
      </c>
    </row>
    <row r="9" customFormat="false" ht="31.5" hidden="false" customHeight="true" outlineLevel="0" collapsed="false">
      <c r="B9" s="12" t="s">
        <v>320</v>
      </c>
      <c r="C9" s="12" t="s">
        <v>321</v>
      </c>
      <c r="D9" s="12" t="s">
        <v>322</v>
      </c>
      <c r="E9" s="12" t="s">
        <v>323</v>
      </c>
      <c r="F9" s="12" t="s">
        <v>324</v>
      </c>
      <c r="G9" s="12" t="s">
        <v>325</v>
      </c>
    </row>
    <row r="10" customFormat="false" ht="31.5" hidden="false" customHeight="true" outlineLevel="0" collapsed="false">
      <c r="B10" s="13" t="s">
        <v>326</v>
      </c>
      <c r="C10" s="13" t="s">
        <v>327</v>
      </c>
      <c r="D10" s="13" t="s">
        <v>328</v>
      </c>
      <c r="E10" s="13" t="s">
        <v>329</v>
      </c>
      <c r="F10" s="13" t="s">
        <v>330</v>
      </c>
      <c r="G10" s="13" t="s">
        <v>331</v>
      </c>
    </row>
    <row r="11" customFormat="false" ht="31.5" hidden="false" customHeight="true" outlineLevel="0" collapsed="false">
      <c r="B11" s="12" t="s">
        <v>332</v>
      </c>
      <c r="C11" s="12" t="s">
        <v>333</v>
      </c>
      <c r="D11" s="12" t="s">
        <v>334</v>
      </c>
      <c r="E11" s="12" t="s">
        <v>335</v>
      </c>
      <c r="F11" s="12" t="s">
        <v>336</v>
      </c>
      <c r="G11" s="12" t="s">
        <v>337</v>
      </c>
    </row>
  </sheetData>
  <mergeCells count="1">
    <mergeCell ref="B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23"/>
    <col collapsed="false" customWidth="true" hidden="false" outlineLevel="0" max="4" min="4" style="0" width="18"/>
    <col collapsed="false" customWidth="true" hidden="false" outlineLevel="0" max="7" min="5" style="0" width="16"/>
    <col collapsed="false" customWidth="true" hidden="false" outlineLevel="0" max="8" min="8" style="0" width="17"/>
    <col collapsed="false" customWidth="true" hidden="false" outlineLevel="0" max="9" min="9" style="0" width="24"/>
    <col collapsed="false" customWidth="true" hidden="false" outlineLevel="0" max="11" min="10" style="0" width="23"/>
  </cols>
  <sheetData>
    <row r="1" customFormat="false" ht="27.75" hidden="false" customHeight="true" outlineLevel="0" collapsed="false">
      <c r="A1" s="4" t="s">
        <v>17</v>
      </c>
      <c r="B1" s="4" t="s">
        <v>18</v>
      </c>
      <c r="C1" s="4" t="s">
        <v>19</v>
      </c>
      <c r="D1" s="4" t="s">
        <v>20</v>
      </c>
      <c r="E1" s="4" t="s">
        <v>21</v>
      </c>
      <c r="F1" s="4" t="s">
        <v>22</v>
      </c>
      <c r="G1" s="4" t="s">
        <v>23</v>
      </c>
      <c r="H1" s="4" t="s">
        <v>24</v>
      </c>
      <c r="I1" s="4" t="s">
        <v>25</v>
      </c>
      <c r="J1" s="4" t="s">
        <v>26</v>
      </c>
      <c r="K1" s="4" t="s">
        <v>27</v>
      </c>
    </row>
    <row r="2" customFormat="false" ht="15" hidden="false" customHeight="false" outlineLevel="0" collapsed="false">
      <c r="A2" s="5" t="s">
        <v>28</v>
      </c>
      <c r="B2" s="5" t="s">
        <v>29</v>
      </c>
      <c r="C2" s="5" t="s">
        <v>30</v>
      </c>
      <c r="D2" s="6" t="n">
        <v>17</v>
      </c>
      <c r="E2" s="6" t="n">
        <v>21</v>
      </c>
      <c r="F2" s="6" t="n">
        <v>253</v>
      </c>
      <c r="G2" s="6" t="n">
        <v>250</v>
      </c>
      <c r="H2" s="6" t="n">
        <v>21</v>
      </c>
      <c r="I2" s="7" t="n">
        <v>54966</v>
      </c>
      <c r="J2" s="6" t="n">
        <v>8</v>
      </c>
      <c r="K2" s="5" t="s">
        <v>338</v>
      </c>
    </row>
    <row r="3" customFormat="false" ht="15" hidden="false" customHeight="false" outlineLevel="0" collapsed="false">
      <c r="A3" s="8" t="s">
        <v>32</v>
      </c>
      <c r="B3" s="8" t="s">
        <v>29</v>
      </c>
      <c r="C3" s="8" t="s">
        <v>30</v>
      </c>
      <c r="D3" s="9" t="n">
        <v>16</v>
      </c>
      <c r="E3" s="9" t="n">
        <v>21</v>
      </c>
      <c r="F3" s="9" t="n">
        <v>235</v>
      </c>
      <c r="G3" s="9" t="n">
        <v>230</v>
      </c>
      <c r="H3" s="9" t="n">
        <v>20</v>
      </c>
      <c r="I3" s="10" t="n">
        <v>57697</v>
      </c>
      <c r="J3" s="9" t="n">
        <v>5</v>
      </c>
      <c r="K3" s="8" t="s">
        <v>338</v>
      </c>
    </row>
    <row r="4" customFormat="false" ht="15" hidden="false" customHeight="false" outlineLevel="0" collapsed="false">
      <c r="A4" s="5" t="s">
        <v>33</v>
      </c>
      <c r="B4" s="5" t="s">
        <v>29</v>
      </c>
      <c r="C4" s="5" t="s">
        <v>30</v>
      </c>
      <c r="D4" s="6" t="n">
        <v>15</v>
      </c>
      <c r="E4" s="6" t="n">
        <v>21</v>
      </c>
      <c r="F4" s="6" t="n">
        <v>248</v>
      </c>
      <c r="G4" s="6" t="n">
        <v>235</v>
      </c>
      <c r="H4" s="6" t="n">
        <v>16</v>
      </c>
      <c r="I4" s="7" t="n">
        <v>56911</v>
      </c>
      <c r="J4" s="6" t="n">
        <v>6</v>
      </c>
      <c r="K4" s="5" t="s">
        <v>338</v>
      </c>
    </row>
    <row r="5" customFormat="false" ht="15" hidden="false" customHeight="false" outlineLevel="0" collapsed="false">
      <c r="A5" s="8" t="s">
        <v>34</v>
      </c>
      <c r="B5" s="8" t="s">
        <v>29</v>
      </c>
      <c r="C5" s="8" t="s">
        <v>30</v>
      </c>
      <c r="D5" s="9" t="n">
        <v>17</v>
      </c>
      <c r="E5" s="9" t="n">
        <v>21</v>
      </c>
      <c r="F5" s="9" t="n">
        <v>246</v>
      </c>
      <c r="G5" s="9" t="n">
        <v>214</v>
      </c>
      <c r="H5" s="9" t="n">
        <v>14</v>
      </c>
      <c r="I5" s="10" t="n">
        <v>57013</v>
      </c>
      <c r="J5" s="9" t="n">
        <v>9</v>
      </c>
      <c r="K5" s="8" t="s">
        <v>338</v>
      </c>
    </row>
    <row r="6" customFormat="false" ht="15" hidden="false" customHeight="false" outlineLevel="0" collapsed="false">
      <c r="A6" s="5" t="s">
        <v>35</v>
      </c>
      <c r="B6" s="5" t="s">
        <v>29</v>
      </c>
      <c r="C6" s="5" t="s">
        <v>30</v>
      </c>
      <c r="D6" s="6" t="n">
        <v>16</v>
      </c>
      <c r="E6" s="6" t="n">
        <v>21</v>
      </c>
      <c r="F6" s="6" t="n">
        <v>227</v>
      </c>
      <c r="G6" s="6" t="n">
        <v>223</v>
      </c>
      <c r="H6" s="6" t="n">
        <v>17</v>
      </c>
      <c r="I6" s="7" t="n">
        <v>57398</v>
      </c>
      <c r="J6" s="6" t="n">
        <v>5</v>
      </c>
      <c r="K6" s="5" t="s">
        <v>338</v>
      </c>
    </row>
    <row r="7" customFormat="false" ht="15" hidden="false" customHeight="false" outlineLevel="0" collapsed="false">
      <c r="A7" s="8" t="s">
        <v>36</v>
      </c>
      <c r="B7" s="8" t="s">
        <v>29</v>
      </c>
      <c r="C7" s="8" t="s">
        <v>37</v>
      </c>
      <c r="D7" s="9" t="n">
        <v>18</v>
      </c>
      <c r="E7" s="9" t="n">
        <v>21</v>
      </c>
      <c r="F7" s="9" t="n">
        <v>438</v>
      </c>
      <c r="G7" s="9" t="n">
        <v>414</v>
      </c>
      <c r="H7" s="9" t="n">
        <v>17</v>
      </c>
      <c r="I7" s="10" t="n">
        <v>74046</v>
      </c>
      <c r="J7" s="9" t="n">
        <v>6</v>
      </c>
      <c r="K7" s="8" t="s">
        <v>338</v>
      </c>
    </row>
    <row r="8" customFormat="false" ht="15" hidden="false" customHeight="false" outlineLevel="0" collapsed="false">
      <c r="A8" s="5" t="s">
        <v>38</v>
      </c>
      <c r="B8" s="5" t="s">
        <v>29</v>
      </c>
      <c r="C8" s="5" t="s">
        <v>37</v>
      </c>
      <c r="D8" s="6" t="n">
        <v>24</v>
      </c>
      <c r="E8" s="6" t="n">
        <v>21</v>
      </c>
      <c r="F8" s="6" t="n">
        <v>431</v>
      </c>
      <c r="G8" s="6" t="n">
        <v>437</v>
      </c>
      <c r="H8" s="6" t="n">
        <v>19</v>
      </c>
      <c r="I8" s="7" t="n">
        <v>72805</v>
      </c>
      <c r="J8" s="6" t="n">
        <v>6</v>
      </c>
      <c r="K8" s="5" t="s">
        <v>338</v>
      </c>
    </row>
    <row r="9" customFormat="false" ht="15" hidden="false" customHeight="false" outlineLevel="0" collapsed="false">
      <c r="A9" s="8" t="s">
        <v>39</v>
      </c>
      <c r="B9" s="8" t="s">
        <v>29</v>
      </c>
      <c r="C9" s="8" t="s">
        <v>37</v>
      </c>
      <c r="D9" s="9" t="n">
        <v>19</v>
      </c>
      <c r="E9" s="9" t="n">
        <v>21</v>
      </c>
      <c r="F9" s="9" t="n">
        <v>428</v>
      </c>
      <c r="G9" s="9" t="n">
        <v>418</v>
      </c>
      <c r="H9" s="9" t="n">
        <v>21</v>
      </c>
      <c r="I9" s="10" t="n">
        <v>67767</v>
      </c>
      <c r="J9" s="9" t="n">
        <v>5</v>
      </c>
      <c r="K9" s="8" t="s">
        <v>338</v>
      </c>
    </row>
    <row r="10" customFormat="false" ht="15" hidden="false" customHeight="false" outlineLevel="0" collapsed="false">
      <c r="A10" s="5" t="s">
        <v>40</v>
      </c>
      <c r="B10" s="5" t="s">
        <v>29</v>
      </c>
      <c r="C10" s="5" t="s">
        <v>37</v>
      </c>
      <c r="D10" s="6" t="n">
        <v>24</v>
      </c>
      <c r="E10" s="6" t="n">
        <v>21</v>
      </c>
      <c r="F10" s="6" t="n">
        <v>442</v>
      </c>
      <c r="G10" s="6" t="n">
        <v>432</v>
      </c>
      <c r="H10" s="6" t="n">
        <v>26</v>
      </c>
      <c r="I10" s="7" t="n">
        <v>73904</v>
      </c>
      <c r="J10" s="6" t="n">
        <v>4</v>
      </c>
      <c r="K10" s="5" t="s">
        <v>338</v>
      </c>
    </row>
    <row r="11" customFormat="false" ht="15" hidden="false" customHeight="false" outlineLevel="0" collapsed="false">
      <c r="A11" s="8" t="s">
        <v>41</v>
      </c>
      <c r="B11" s="8" t="s">
        <v>29</v>
      </c>
      <c r="C11" s="8" t="s">
        <v>37</v>
      </c>
      <c r="D11" s="9" t="n">
        <v>24</v>
      </c>
      <c r="E11" s="9" t="n">
        <v>21</v>
      </c>
      <c r="F11" s="9" t="n">
        <v>445</v>
      </c>
      <c r="G11" s="9" t="n">
        <v>405</v>
      </c>
      <c r="H11" s="9" t="n">
        <v>23</v>
      </c>
      <c r="I11" s="10" t="n">
        <v>70445</v>
      </c>
      <c r="J11" s="9" t="n">
        <v>5</v>
      </c>
      <c r="K11" s="8" t="s">
        <v>338</v>
      </c>
    </row>
    <row r="12" customFormat="false" ht="15" hidden="false" customHeight="false" outlineLevel="0" collapsed="false">
      <c r="A12" s="5" t="s">
        <v>42</v>
      </c>
      <c r="B12" s="5" t="s">
        <v>29</v>
      </c>
      <c r="C12" s="5" t="s">
        <v>43</v>
      </c>
      <c r="D12" s="6" t="n">
        <v>15</v>
      </c>
      <c r="E12" s="6" t="n">
        <v>21</v>
      </c>
      <c r="F12" s="6" t="n">
        <v>193</v>
      </c>
      <c r="G12" s="6" t="n">
        <v>191</v>
      </c>
      <c r="H12" s="6" t="n">
        <v>30</v>
      </c>
      <c r="I12" s="7" t="n">
        <v>68611</v>
      </c>
      <c r="J12" s="6" t="n">
        <v>19</v>
      </c>
      <c r="K12" s="5" t="s">
        <v>338</v>
      </c>
    </row>
    <row r="13" customFormat="false" ht="15" hidden="false" customHeight="false" outlineLevel="0" collapsed="false">
      <c r="A13" s="8" t="s">
        <v>44</v>
      </c>
      <c r="B13" s="8" t="s">
        <v>29</v>
      </c>
      <c r="C13" s="8" t="s">
        <v>43</v>
      </c>
      <c r="D13" s="9" t="n">
        <v>16</v>
      </c>
      <c r="E13" s="9" t="n">
        <v>21</v>
      </c>
      <c r="F13" s="9" t="n">
        <v>192</v>
      </c>
      <c r="G13" s="9" t="n">
        <v>188</v>
      </c>
      <c r="H13" s="9" t="n">
        <v>24</v>
      </c>
      <c r="I13" s="10" t="n">
        <v>68774</v>
      </c>
      <c r="J13" s="9" t="n">
        <v>12</v>
      </c>
      <c r="K13" s="8" t="s">
        <v>338</v>
      </c>
    </row>
    <row r="14" customFormat="false" ht="15" hidden="false" customHeight="false" outlineLevel="0" collapsed="false">
      <c r="A14" s="5" t="s">
        <v>45</v>
      </c>
      <c r="B14" s="5" t="s">
        <v>29</v>
      </c>
      <c r="C14" s="5" t="s">
        <v>43</v>
      </c>
      <c r="D14" s="6" t="n">
        <v>16</v>
      </c>
      <c r="E14" s="6" t="n">
        <v>21</v>
      </c>
      <c r="F14" s="6" t="n">
        <v>199</v>
      </c>
      <c r="G14" s="6" t="n">
        <v>180</v>
      </c>
      <c r="H14" s="6" t="n">
        <v>26</v>
      </c>
      <c r="I14" s="7" t="n">
        <v>68146</v>
      </c>
      <c r="J14" s="6" t="n">
        <v>15</v>
      </c>
      <c r="K14" s="5" t="s">
        <v>338</v>
      </c>
    </row>
    <row r="15" customFormat="false" ht="15" hidden="false" customHeight="false" outlineLevel="0" collapsed="false">
      <c r="A15" s="8" t="s">
        <v>46</v>
      </c>
      <c r="B15" s="8" t="s">
        <v>29</v>
      </c>
      <c r="C15" s="8" t="s">
        <v>43</v>
      </c>
      <c r="D15" s="9" t="n">
        <v>14</v>
      </c>
      <c r="E15" s="9" t="n">
        <v>21</v>
      </c>
      <c r="F15" s="9" t="n">
        <v>165</v>
      </c>
      <c r="G15" s="9" t="n">
        <v>153</v>
      </c>
      <c r="H15" s="9" t="n">
        <v>19</v>
      </c>
      <c r="I15" s="10" t="n">
        <v>68418</v>
      </c>
      <c r="J15" s="9" t="n">
        <v>9</v>
      </c>
      <c r="K15" s="8" t="s">
        <v>338</v>
      </c>
    </row>
    <row r="16" customFormat="false" ht="15" hidden="false" customHeight="false" outlineLevel="0" collapsed="false">
      <c r="A16" s="5" t="s">
        <v>47</v>
      </c>
      <c r="B16" s="5" t="s">
        <v>29</v>
      </c>
      <c r="C16" s="5" t="s">
        <v>43</v>
      </c>
      <c r="D16" s="6" t="n">
        <v>13</v>
      </c>
      <c r="E16" s="6" t="n">
        <v>21</v>
      </c>
      <c r="F16" s="6" t="n">
        <v>177</v>
      </c>
      <c r="G16" s="6" t="n">
        <v>172</v>
      </c>
      <c r="H16" s="6" t="n">
        <v>24</v>
      </c>
      <c r="I16" s="7" t="n">
        <v>66749</v>
      </c>
      <c r="J16" s="6" t="n">
        <v>16</v>
      </c>
      <c r="K16" s="5" t="s">
        <v>338</v>
      </c>
    </row>
    <row r="17" customFormat="false" ht="15" hidden="false" customHeight="false" outlineLevel="0" collapsed="false">
      <c r="A17" s="8" t="s">
        <v>48</v>
      </c>
      <c r="B17" s="8" t="s">
        <v>29</v>
      </c>
      <c r="C17" s="8" t="s">
        <v>49</v>
      </c>
      <c r="D17" s="9" t="n">
        <v>11</v>
      </c>
      <c r="E17" s="9" t="n">
        <v>21</v>
      </c>
      <c r="F17" s="9" t="n">
        <v>314</v>
      </c>
      <c r="G17" s="9" t="n">
        <v>308</v>
      </c>
      <c r="H17" s="9" t="n">
        <v>12</v>
      </c>
      <c r="I17" s="10" t="n">
        <v>40704</v>
      </c>
      <c r="J17" s="9" t="n">
        <v>2</v>
      </c>
      <c r="K17" s="8" t="s">
        <v>338</v>
      </c>
    </row>
    <row r="18" customFormat="false" ht="15" hidden="false" customHeight="false" outlineLevel="0" collapsed="false">
      <c r="A18" s="5" t="s">
        <v>50</v>
      </c>
      <c r="B18" s="5" t="s">
        <v>29</v>
      </c>
      <c r="C18" s="5" t="s">
        <v>49</v>
      </c>
      <c r="D18" s="6" t="n">
        <v>12</v>
      </c>
      <c r="E18" s="6" t="n">
        <v>21</v>
      </c>
      <c r="F18" s="6" t="n">
        <v>316</v>
      </c>
      <c r="G18" s="6" t="n">
        <v>327</v>
      </c>
      <c r="H18" s="6" t="n">
        <v>15</v>
      </c>
      <c r="I18" s="7" t="n">
        <v>43037</v>
      </c>
      <c r="J18" s="6" t="n">
        <v>2</v>
      </c>
      <c r="K18" s="5" t="s">
        <v>338</v>
      </c>
    </row>
    <row r="19" customFormat="false" ht="15" hidden="false" customHeight="false" outlineLevel="0" collapsed="false">
      <c r="A19" s="8" t="s">
        <v>51</v>
      </c>
      <c r="B19" s="8" t="s">
        <v>29</v>
      </c>
      <c r="C19" s="8" t="s">
        <v>49</v>
      </c>
      <c r="D19" s="9" t="n">
        <v>8</v>
      </c>
      <c r="E19" s="9" t="n">
        <v>21</v>
      </c>
      <c r="F19" s="9" t="n">
        <v>290</v>
      </c>
      <c r="G19" s="9" t="n">
        <v>264</v>
      </c>
      <c r="H19" s="9" t="n">
        <v>10</v>
      </c>
      <c r="I19" s="10" t="n">
        <v>41711</v>
      </c>
      <c r="J19" s="9" t="n">
        <v>2</v>
      </c>
      <c r="K19" s="8" t="s">
        <v>338</v>
      </c>
    </row>
    <row r="20" customFormat="false" ht="15" hidden="false" customHeight="false" outlineLevel="0" collapsed="false">
      <c r="A20" s="5" t="s">
        <v>52</v>
      </c>
      <c r="B20" s="5" t="s">
        <v>29</v>
      </c>
      <c r="C20" s="5" t="s">
        <v>49</v>
      </c>
      <c r="D20" s="6" t="n">
        <v>9</v>
      </c>
      <c r="E20" s="6" t="n">
        <v>21</v>
      </c>
      <c r="F20" s="6" t="n">
        <v>312</v>
      </c>
      <c r="G20" s="6" t="n">
        <v>311</v>
      </c>
      <c r="H20" s="6" t="n">
        <v>11</v>
      </c>
      <c r="I20" s="7" t="n">
        <v>41677</v>
      </c>
      <c r="J20" s="6" t="n">
        <v>2</v>
      </c>
      <c r="K20" s="5" t="s">
        <v>338</v>
      </c>
    </row>
    <row r="21" customFormat="false" ht="15" hidden="false" customHeight="false" outlineLevel="0" collapsed="false">
      <c r="A21" s="8" t="s">
        <v>53</v>
      </c>
      <c r="B21" s="8" t="s">
        <v>29</v>
      </c>
      <c r="C21" s="8" t="s">
        <v>49</v>
      </c>
      <c r="D21" s="9" t="n">
        <v>8</v>
      </c>
      <c r="E21" s="9" t="n">
        <v>21</v>
      </c>
      <c r="F21" s="9" t="n">
        <v>297</v>
      </c>
      <c r="G21" s="9" t="n">
        <v>256</v>
      </c>
      <c r="H21" s="9" t="n">
        <v>9</v>
      </c>
      <c r="I21" s="10" t="n">
        <v>42435</v>
      </c>
      <c r="J21" s="9" t="n">
        <v>1</v>
      </c>
      <c r="K21" s="8" t="s">
        <v>338</v>
      </c>
    </row>
    <row r="22" customFormat="false" ht="15" hidden="false" customHeight="false" outlineLevel="0" collapsed="false">
      <c r="A22" s="5" t="s">
        <v>54</v>
      </c>
      <c r="B22" s="5" t="s">
        <v>55</v>
      </c>
      <c r="C22" s="5" t="s">
        <v>30</v>
      </c>
      <c r="D22" s="6" t="n">
        <v>17</v>
      </c>
      <c r="E22" s="6" t="n">
        <v>22</v>
      </c>
      <c r="F22" s="6" t="n">
        <v>258</v>
      </c>
      <c r="G22" s="6" t="n">
        <v>248</v>
      </c>
      <c r="H22" s="6" t="n">
        <v>20</v>
      </c>
      <c r="I22" s="7" t="n">
        <v>57812</v>
      </c>
      <c r="J22" s="6" t="n">
        <v>9</v>
      </c>
      <c r="K22" s="5" t="s">
        <v>338</v>
      </c>
    </row>
    <row r="23" customFormat="false" ht="15" hidden="false" customHeight="false" outlineLevel="0" collapsed="false">
      <c r="A23" s="8" t="s">
        <v>56</v>
      </c>
      <c r="B23" s="8" t="s">
        <v>55</v>
      </c>
      <c r="C23" s="8" t="s">
        <v>30</v>
      </c>
      <c r="D23" s="9" t="n">
        <v>14</v>
      </c>
      <c r="E23" s="9" t="n">
        <v>22</v>
      </c>
      <c r="F23" s="9" t="n">
        <v>246</v>
      </c>
      <c r="G23" s="9" t="n">
        <v>238</v>
      </c>
      <c r="H23" s="9" t="n">
        <v>17</v>
      </c>
      <c r="I23" s="10" t="n">
        <v>54252</v>
      </c>
      <c r="J23" s="9" t="n">
        <v>7</v>
      </c>
      <c r="K23" s="8" t="s">
        <v>338</v>
      </c>
    </row>
    <row r="24" customFormat="false" ht="15" hidden="false" customHeight="false" outlineLevel="0" collapsed="false">
      <c r="A24" s="5" t="s">
        <v>57</v>
      </c>
      <c r="B24" s="5" t="s">
        <v>55</v>
      </c>
      <c r="C24" s="5" t="s">
        <v>30</v>
      </c>
      <c r="D24" s="6" t="n">
        <v>14</v>
      </c>
      <c r="E24" s="6" t="n">
        <v>22</v>
      </c>
      <c r="F24" s="6" t="n">
        <v>236</v>
      </c>
      <c r="G24" s="6" t="n">
        <v>222</v>
      </c>
      <c r="H24" s="6" t="n">
        <v>16</v>
      </c>
      <c r="I24" s="7" t="n">
        <v>57126</v>
      </c>
      <c r="J24" s="6" t="n">
        <v>9</v>
      </c>
      <c r="K24" s="5" t="s">
        <v>338</v>
      </c>
    </row>
    <row r="25" customFormat="false" ht="15" hidden="false" customHeight="false" outlineLevel="0" collapsed="false">
      <c r="A25" s="8" t="s">
        <v>58</v>
      </c>
      <c r="B25" s="8" t="s">
        <v>55</v>
      </c>
      <c r="C25" s="8" t="s">
        <v>30</v>
      </c>
      <c r="D25" s="9" t="n">
        <v>16</v>
      </c>
      <c r="E25" s="9" t="n">
        <v>22</v>
      </c>
      <c r="F25" s="9" t="n">
        <v>236</v>
      </c>
      <c r="G25" s="9" t="n">
        <v>205</v>
      </c>
      <c r="H25" s="9" t="n">
        <v>17</v>
      </c>
      <c r="I25" s="10" t="n">
        <v>59656</v>
      </c>
      <c r="J25" s="9" t="n">
        <v>7</v>
      </c>
      <c r="K25" s="8" t="s">
        <v>338</v>
      </c>
    </row>
    <row r="26" customFormat="false" ht="15" hidden="false" customHeight="false" outlineLevel="0" collapsed="false">
      <c r="A26" s="5" t="s">
        <v>59</v>
      </c>
      <c r="B26" s="5" t="s">
        <v>55</v>
      </c>
      <c r="C26" s="5" t="s">
        <v>30</v>
      </c>
      <c r="D26" s="6" t="n">
        <v>16</v>
      </c>
      <c r="E26" s="6" t="n">
        <v>22</v>
      </c>
      <c r="F26" s="6" t="n">
        <v>251</v>
      </c>
      <c r="G26" s="6" t="n">
        <v>235</v>
      </c>
      <c r="H26" s="6" t="n">
        <v>20</v>
      </c>
      <c r="I26" s="7" t="n">
        <v>59491</v>
      </c>
      <c r="J26" s="6" t="n">
        <v>8</v>
      </c>
      <c r="K26" s="5" t="s">
        <v>338</v>
      </c>
    </row>
    <row r="27" customFormat="false" ht="15" hidden="false" customHeight="false" outlineLevel="0" collapsed="false">
      <c r="A27" s="8" t="s">
        <v>60</v>
      </c>
      <c r="B27" s="8" t="s">
        <v>55</v>
      </c>
      <c r="C27" s="8" t="s">
        <v>37</v>
      </c>
      <c r="D27" s="9" t="n">
        <v>20</v>
      </c>
      <c r="E27" s="9" t="n">
        <v>22</v>
      </c>
      <c r="F27" s="9" t="n">
        <v>458</v>
      </c>
      <c r="G27" s="9" t="n">
        <v>435</v>
      </c>
      <c r="H27" s="9" t="n">
        <v>19</v>
      </c>
      <c r="I27" s="10" t="n">
        <v>75473</v>
      </c>
      <c r="J27" s="9" t="n">
        <v>4</v>
      </c>
      <c r="K27" s="8" t="s">
        <v>338</v>
      </c>
    </row>
    <row r="28" customFormat="false" ht="15" hidden="false" customHeight="false" outlineLevel="0" collapsed="false">
      <c r="A28" s="5" t="s">
        <v>61</v>
      </c>
      <c r="B28" s="5" t="s">
        <v>55</v>
      </c>
      <c r="C28" s="5" t="s">
        <v>37</v>
      </c>
      <c r="D28" s="6" t="n">
        <v>21</v>
      </c>
      <c r="E28" s="6" t="n">
        <v>22</v>
      </c>
      <c r="F28" s="6" t="n">
        <v>461</v>
      </c>
      <c r="G28" s="6" t="n">
        <v>463</v>
      </c>
      <c r="H28" s="6" t="n">
        <v>22</v>
      </c>
      <c r="I28" s="7" t="n">
        <v>74774</v>
      </c>
      <c r="J28" s="6" t="n">
        <v>5</v>
      </c>
      <c r="K28" s="5" t="s">
        <v>338</v>
      </c>
    </row>
    <row r="29" customFormat="false" ht="15" hidden="false" customHeight="false" outlineLevel="0" collapsed="false">
      <c r="A29" s="8" t="s">
        <v>62</v>
      </c>
      <c r="B29" s="8" t="s">
        <v>55</v>
      </c>
      <c r="C29" s="8" t="s">
        <v>37</v>
      </c>
      <c r="D29" s="9" t="n">
        <v>18</v>
      </c>
      <c r="E29" s="9" t="n">
        <v>22</v>
      </c>
      <c r="F29" s="9" t="n">
        <v>475</v>
      </c>
      <c r="G29" s="9" t="n">
        <v>468</v>
      </c>
      <c r="H29" s="9" t="n">
        <v>27</v>
      </c>
      <c r="I29" s="10" t="n">
        <v>67998</v>
      </c>
      <c r="J29" s="9" t="n">
        <v>7</v>
      </c>
      <c r="K29" s="8" t="s">
        <v>338</v>
      </c>
    </row>
    <row r="30" customFormat="false" ht="15" hidden="false" customHeight="false" outlineLevel="0" collapsed="false">
      <c r="A30" s="5" t="s">
        <v>63</v>
      </c>
      <c r="B30" s="5" t="s">
        <v>55</v>
      </c>
      <c r="C30" s="5" t="s">
        <v>37</v>
      </c>
      <c r="D30" s="6" t="n">
        <v>18</v>
      </c>
      <c r="E30" s="6" t="n">
        <v>22</v>
      </c>
      <c r="F30" s="6" t="n">
        <v>467</v>
      </c>
      <c r="G30" s="6" t="n">
        <v>456</v>
      </c>
      <c r="H30" s="6" t="n">
        <v>25</v>
      </c>
      <c r="I30" s="7" t="n">
        <v>70259</v>
      </c>
      <c r="J30" s="6" t="n">
        <v>5</v>
      </c>
      <c r="K30" s="5" t="s">
        <v>338</v>
      </c>
    </row>
    <row r="31" customFormat="false" ht="15" hidden="false" customHeight="false" outlineLevel="0" collapsed="false">
      <c r="A31" s="8" t="s">
        <v>64</v>
      </c>
      <c r="B31" s="8" t="s">
        <v>55</v>
      </c>
      <c r="C31" s="8" t="s">
        <v>37</v>
      </c>
      <c r="D31" s="9" t="n">
        <v>19</v>
      </c>
      <c r="E31" s="9" t="n">
        <v>22</v>
      </c>
      <c r="F31" s="9" t="n">
        <v>444</v>
      </c>
      <c r="G31" s="9" t="n">
        <v>448</v>
      </c>
      <c r="H31" s="9" t="n">
        <v>19</v>
      </c>
      <c r="I31" s="10" t="n">
        <v>73775</v>
      </c>
      <c r="J31" s="9" t="n">
        <v>5</v>
      </c>
      <c r="K31" s="8" t="s">
        <v>338</v>
      </c>
    </row>
    <row r="32" customFormat="false" ht="15" hidden="false" customHeight="false" outlineLevel="0" collapsed="false">
      <c r="A32" s="5" t="s">
        <v>65</v>
      </c>
      <c r="B32" s="5" t="s">
        <v>55</v>
      </c>
      <c r="C32" s="5" t="s">
        <v>43</v>
      </c>
      <c r="D32" s="6" t="n">
        <v>14</v>
      </c>
      <c r="E32" s="6" t="n">
        <v>22</v>
      </c>
      <c r="F32" s="6" t="n">
        <v>187</v>
      </c>
      <c r="G32" s="6" t="n">
        <v>186</v>
      </c>
      <c r="H32" s="6" t="n">
        <v>21</v>
      </c>
      <c r="I32" s="7" t="n">
        <v>65549</v>
      </c>
      <c r="J32" s="6" t="n">
        <v>13</v>
      </c>
      <c r="K32" s="5" t="s">
        <v>338</v>
      </c>
    </row>
    <row r="33" customFormat="false" ht="15" hidden="false" customHeight="false" outlineLevel="0" collapsed="false">
      <c r="A33" s="8" t="s">
        <v>66</v>
      </c>
      <c r="B33" s="8" t="s">
        <v>55</v>
      </c>
      <c r="C33" s="8" t="s">
        <v>43</v>
      </c>
      <c r="D33" s="9" t="n">
        <v>15</v>
      </c>
      <c r="E33" s="9" t="n">
        <v>22</v>
      </c>
      <c r="F33" s="9" t="n">
        <v>206</v>
      </c>
      <c r="G33" s="9" t="n">
        <v>204</v>
      </c>
      <c r="H33" s="9" t="n">
        <v>35</v>
      </c>
      <c r="I33" s="10" t="n">
        <v>67987</v>
      </c>
      <c r="J33" s="9" t="n">
        <v>15</v>
      </c>
      <c r="K33" s="8" t="s">
        <v>338</v>
      </c>
    </row>
    <row r="34" customFormat="false" ht="15" hidden="false" customHeight="false" outlineLevel="0" collapsed="false">
      <c r="A34" s="5" t="s">
        <v>67</v>
      </c>
      <c r="B34" s="5" t="s">
        <v>55</v>
      </c>
      <c r="C34" s="5" t="s">
        <v>43</v>
      </c>
      <c r="D34" s="6" t="n">
        <v>14</v>
      </c>
      <c r="E34" s="6" t="n">
        <v>22</v>
      </c>
      <c r="F34" s="6" t="n">
        <v>173</v>
      </c>
      <c r="G34" s="6" t="n">
        <v>175</v>
      </c>
      <c r="H34" s="6" t="n">
        <v>22</v>
      </c>
      <c r="I34" s="7" t="n">
        <v>70813</v>
      </c>
      <c r="J34" s="6" t="n">
        <v>17</v>
      </c>
      <c r="K34" s="5" t="s">
        <v>338</v>
      </c>
    </row>
    <row r="35" customFormat="false" ht="15" hidden="false" customHeight="false" outlineLevel="0" collapsed="false">
      <c r="A35" s="8" t="s">
        <v>69</v>
      </c>
      <c r="B35" s="8" t="s">
        <v>55</v>
      </c>
      <c r="C35" s="8" t="s">
        <v>43</v>
      </c>
      <c r="D35" s="9" t="n">
        <v>12</v>
      </c>
      <c r="E35" s="9" t="n">
        <v>22</v>
      </c>
      <c r="F35" s="9" t="n">
        <v>185</v>
      </c>
      <c r="G35" s="9" t="n">
        <v>188</v>
      </c>
      <c r="H35" s="9" t="n">
        <v>28</v>
      </c>
      <c r="I35" s="10" t="n">
        <v>66742</v>
      </c>
      <c r="J35" s="9" t="n">
        <v>20</v>
      </c>
      <c r="K35" s="8" t="s">
        <v>338</v>
      </c>
    </row>
    <row r="36" customFormat="false" ht="15" hidden="false" customHeight="false" outlineLevel="0" collapsed="false">
      <c r="A36" s="5" t="s">
        <v>70</v>
      </c>
      <c r="B36" s="5" t="s">
        <v>55</v>
      </c>
      <c r="C36" s="5" t="s">
        <v>43</v>
      </c>
      <c r="D36" s="6" t="n">
        <v>12</v>
      </c>
      <c r="E36" s="6" t="n">
        <v>22</v>
      </c>
      <c r="F36" s="6" t="n">
        <v>204</v>
      </c>
      <c r="G36" s="6" t="n">
        <v>203</v>
      </c>
      <c r="H36" s="6" t="n">
        <v>30</v>
      </c>
      <c r="I36" s="7" t="n">
        <v>74106</v>
      </c>
      <c r="J36" s="6" t="n">
        <v>15</v>
      </c>
      <c r="K36" s="5" t="s">
        <v>338</v>
      </c>
    </row>
    <row r="37" customFormat="false" ht="15" hidden="false" customHeight="false" outlineLevel="0" collapsed="false">
      <c r="A37" s="8" t="s">
        <v>71</v>
      </c>
      <c r="B37" s="8" t="s">
        <v>55</v>
      </c>
      <c r="C37" s="8" t="s">
        <v>49</v>
      </c>
      <c r="D37" s="9" t="n">
        <v>12</v>
      </c>
      <c r="E37" s="9" t="n">
        <v>22</v>
      </c>
      <c r="F37" s="9" t="n">
        <v>304</v>
      </c>
      <c r="G37" s="9" t="n">
        <v>309</v>
      </c>
      <c r="H37" s="9" t="n">
        <v>12</v>
      </c>
      <c r="I37" s="10" t="n">
        <v>43531</v>
      </c>
      <c r="J37" s="9" t="n">
        <v>2</v>
      </c>
      <c r="K37" s="8" t="s">
        <v>338</v>
      </c>
    </row>
    <row r="38" customFormat="false" ht="15" hidden="false" customHeight="false" outlineLevel="0" collapsed="false">
      <c r="A38" s="5" t="s">
        <v>72</v>
      </c>
      <c r="B38" s="5" t="s">
        <v>55</v>
      </c>
      <c r="C38" s="5" t="s">
        <v>49</v>
      </c>
      <c r="D38" s="6" t="n">
        <v>8</v>
      </c>
      <c r="E38" s="6" t="n">
        <v>22</v>
      </c>
      <c r="F38" s="6" t="n">
        <v>301</v>
      </c>
      <c r="G38" s="6" t="n">
        <v>291</v>
      </c>
      <c r="H38" s="6" t="n">
        <v>12</v>
      </c>
      <c r="I38" s="7" t="n">
        <v>40821</v>
      </c>
      <c r="J38" s="6" t="n">
        <v>2</v>
      </c>
      <c r="K38" s="5" t="s">
        <v>338</v>
      </c>
    </row>
    <row r="39" customFormat="false" ht="15" hidden="false" customHeight="false" outlineLevel="0" collapsed="false">
      <c r="A39" s="8" t="s">
        <v>73</v>
      </c>
      <c r="B39" s="8" t="s">
        <v>55</v>
      </c>
      <c r="C39" s="8" t="s">
        <v>49</v>
      </c>
      <c r="D39" s="9" t="n">
        <v>8</v>
      </c>
      <c r="E39" s="9" t="n">
        <v>22</v>
      </c>
      <c r="F39" s="9" t="n">
        <v>324</v>
      </c>
      <c r="G39" s="9" t="n">
        <v>291</v>
      </c>
      <c r="H39" s="9" t="n">
        <v>13</v>
      </c>
      <c r="I39" s="10" t="n">
        <v>42527</v>
      </c>
      <c r="J39" s="9" t="n">
        <v>2</v>
      </c>
      <c r="K39" s="8" t="s">
        <v>338</v>
      </c>
    </row>
    <row r="40" customFormat="false" ht="15" hidden="false" customHeight="false" outlineLevel="0" collapsed="false">
      <c r="A40" s="5" t="s">
        <v>74</v>
      </c>
      <c r="B40" s="5" t="s">
        <v>55</v>
      </c>
      <c r="C40" s="5" t="s">
        <v>49</v>
      </c>
      <c r="D40" s="6" t="n">
        <v>12</v>
      </c>
      <c r="E40" s="6" t="n">
        <v>22</v>
      </c>
      <c r="F40" s="6" t="n">
        <v>320</v>
      </c>
      <c r="G40" s="6" t="n">
        <v>318</v>
      </c>
      <c r="H40" s="6" t="n">
        <v>13</v>
      </c>
      <c r="I40" s="7" t="n">
        <v>40341</v>
      </c>
      <c r="J40" s="6" t="n">
        <v>3</v>
      </c>
      <c r="K40" s="5" t="s">
        <v>338</v>
      </c>
    </row>
    <row r="41" customFormat="false" ht="15" hidden="false" customHeight="false" outlineLevel="0" collapsed="false">
      <c r="A41" s="8" t="s">
        <v>75</v>
      </c>
      <c r="B41" s="8" t="s">
        <v>55</v>
      </c>
      <c r="C41" s="8" t="s">
        <v>49</v>
      </c>
      <c r="D41" s="9" t="n">
        <v>11</v>
      </c>
      <c r="E41" s="9" t="n">
        <v>22</v>
      </c>
      <c r="F41" s="9" t="n">
        <v>317</v>
      </c>
      <c r="G41" s="9" t="n">
        <v>299</v>
      </c>
      <c r="H41" s="9" t="n">
        <v>12</v>
      </c>
      <c r="I41" s="10" t="n">
        <v>41794</v>
      </c>
      <c r="J41" s="9" t="n">
        <v>2</v>
      </c>
      <c r="K41" s="8" t="s">
        <v>338</v>
      </c>
    </row>
    <row r="42" customFormat="false" ht="15" hidden="false" customHeight="false" outlineLevel="0" collapsed="false">
      <c r="A42" s="5" t="s">
        <v>76</v>
      </c>
      <c r="B42" s="5" t="s">
        <v>77</v>
      </c>
      <c r="C42" s="5" t="s">
        <v>30</v>
      </c>
      <c r="D42" s="6" t="n">
        <v>15</v>
      </c>
      <c r="E42" s="6" t="n">
        <v>22</v>
      </c>
      <c r="F42" s="6" t="n">
        <v>274</v>
      </c>
      <c r="G42" s="6" t="n">
        <v>253</v>
      </c>
      <c r="H42" s="6" t="n">
        <v>18</v>
      </c>
      <c r="I42" s="7" t="n">
        <v>60667</v>
      </c>
      <c r="J42" s="6" t="n">
        <v>7</v>
      </c>
      <c r="K42" s="5" t="s">
        <v>338</v>
      </c>
    </row>
    <row r="43" customFormat="false" ht="15" hidden="false" customHeight="false" outlineLevel="0" collapsed="false">
      <c r="A43" s="8" t="s">
        <v>78</v>
      </c>
      <c r="B43" s="8" t="s">
        <v>77</v>
      </c>
      <c r="C43" s="8" t="s">
        <v>30</v>
      </c>
      <c r="D43" s="9" t="n">
        <v>15</v>
      </c>
      <c r="E43" s="9" t="n">
        <v>22</v>
      </c>
      <c r="F43" s="9" t="n">
        <v>260</v>
      </c>
      <c r="G43" s="9" t="n">
        <v>256</v>
      </c>
      <c r="H43" s="9" t="n">
        <v>19</v>
      </c>
      <c r="I43" s="10" t="n">
        <v>61348</v>
      </c>
      <c r="J43" s="9" t="n">
        <v>8</v>
      </c>
      <c r="K43" s="8" t="s">
        <v>338</v>
      </c>
    </row>
    <row r="44" customFormat="false" ht="15" hidden="false" customHeight="false" outlineLevel="0" collapsed="false">
      <c r="A44" s="5" t="s">
        <v>79</v>
      </c>
      <c r="B44" s="5" t="s">
        <v>77</v>
      </c>
      <c r="C44" s="5" t="s">
        <v>30</v>
      </c>
      <c r="D44" s="6" t="n">
        <v>15</v>
      </c>
      <c r="E44" s="6" t="n">
        <v>22</v>
      </c>
      <c r="F44" s="6" t="n">
        <v>268</v>
      </c>
      <c r="G44" s="6" t="n">
        <v>252</v>
      </c>
      <c r="H44" s="6" t="n">
        <v>16</v>
      </c>
      <c r="I44" s="7" t="n">
        <v>58581</v>
      </c>
      <c r="J44" s="6" t="n">
        <v>9</v>
      </c>
      <c r="K44" s="5" t="s">
        <v>338</v>
      </c>
    </row>
    <row r="45" customFormat="false" ht="15" hidden="false" customHeight="false" outlineLevel="0" collapsed="false">
      <c r="A45" s="8" t="s">
        <v>80</v>
      </c>
      <c r="B45" s="8" t="s">
        <v>77</v>
      </c>
      <c r="C45" s="8" t="s">
        <v>30</v>
      </c>
      <c r="D45" s="9" t="n">
        <v>17</v>
      </c>
      <c r="E45" s="9" t="n">
        <v>22</v>
      </c>
      <c r="F45" s="9" t="n">
        <v>244</v>
      </c>
      <c r="G45" s="9" t="n">
        <v>235</v>
      </c>
      <c r="H45" s="9" t="n">
        <v>15</v>
      </c>
      <c r="I45" s="10" t="n">
        <v>57039</v>
      </c>
      <c r="J45" s="9" t="n">
        <v>10</v>
      </c>
      <c r="K45" s="8" t="s">
        <v>338</v>
      </c>
    </row>
    <row r="46" customFormat="false" ht="15" hidden="false" customHeight="false" outlineLevel="0" collapsed="false">
      <c r="A46" s="5" t="s">
        <v>81</v>
      </c>
      <c r="B46" s="5" t="s">
        <v>77</v>
      </c>
      <c r="C46" s="5" t="s">
        <v>30</v>
      </c>
      <c r="D46" s="6" t="n">
        <v>17</v>
      </c>
      <c r="E46" s="6" t="n">
        <v>22</v>
      </c>
      <c r="F46" s="6" t="n">
        <v>277</v>
      </c>
      <c r="G46" s="6" t="n">
        <v>270</v>
      </c>
      <c r="H46" s="6" t="n">
        <v>17</v>
      </c>
      <c r="I46" s="7" t="n">
        <v>56744</v>
      </c>
      <c r="J46" s="6" t="n">
        <v>9</v>
      </c>
      <c r="K46" s="5" t="s">
        <v>338</v>
      </c>
    </row>
    <row r="47" customFormat="false" ht="15" hidden="false" customHeight="false" outlineLevel="0" collapsed="false">
      <c r="A47" s="8" t="s">
        <v>82</v>
      </c>
      <c r="B47" s="8" t="s">
        <v>77</v>
      </c>
      <c r="C47" s="8" t="s">
        <v>37</v>
      </c>
      <c r="D47" s="9" t="n">
        <v>24</v>
      </c>
      <c r="E47" s="9" t="n">
        <v>22</v>
      </c>
      <c r="F47" s="9" t="n">
        <v>481</v>
      </c>
      <c r="G47" s="9" t="n">
        <v>458</v>
      </c>
      <c r="H47" s="9" t="n">
        <v>18</v>
      </c>
      <c r="I47" s="10" t="n">
        <v>75060</v>
      </c>
      <c r="J47" s="9" t="n">
        <v>8</v>
      </c>
      <c r="K47" s="8" t="s">
        <v>338</v>
      </c>
    </row>
    <row r="48" customFormat="false" ht="15" hidden="false" customHeight="false" outlineLevel="0" collapsed="false">
      <c r="A48" s="5" t="s">
        <v>83</v>
      </c>
      <c r="B48" s="5" t="s">
        <v>77</v>
      </c>
      <c r="C48" s="5" t="s">
        <v>37</v>
      </c>
      <c r="D48" s="6" t="n">
        <v>23</v>
      </c>
      <c r="E48" s="6" t="n">
        <v>22</v>
      </c>
      <c r="F48" s="6" t="n">
        <v>492</v>
      </c>
      <c r="G48" s="6" t="n">
        <v>466</v>
      </c>
      <c r="H48" s="6" t="n">
        <v>28</v>
      </c>
      <c r="I48" s="7" t="n">
        <v>76625</v>
      </c>
      <c r="J48" s="6" t="n">
        <v>6</v>
      </c>
      <c r="K48" s="5" t="s">
        <v>338</v>
      </c>
    </row>
    <row r="49" customFormat="false" ht="15" hidden="false" customHeight="false" outlineLevel="0" collapsed="false">
      <c r="A49" s="8" t="s">
        <v>84</v>
      </c>
      <c r="B49" s="8" t="s">
        <v>77</v>
      </c>
      <c r="C49" s="8" t="s">
        <v>37</v>
      </c>
      <c r="D49" s="9" t="n">
        <v>23</v>
      </c>
      <c r="E49" s="9" t="n">
        <v>22</v>
      </c>
      <c r="F49" s="9" t="n">
        <v>491</v>
      </c>
      <c r="G49" s="9" t="n">
        <v>523</v>
      </c>
      <c r="H49" s="9" t="n">
        <v>28</v>
      </c>
      <c r="I49" s="10" t="n">
        <v>79021</v>
      </c>
      <c r="J49" s="9" t="n">
        <v>8</v>
      </c>
      <c r="K49" s="8" t="s">
        <v>338</v>
      </c>
    </row>
    <row r="50" customFormat="false" ht="15" hidden="false" customHeight="false" outlineLevel="0" collapsed="false">
      <c r="A50" s="5" t="s">
        <v>85</v>
      </c>
      <c r="B50" s="5" t="s">
        <v>77</v>
      </c>
      <c r="C50" s="5" t="s">
        <v>37</v>
      </c>
      <c r="D50" s="6" t="n">
        <v>22</v>
      </c>
      <c r="E50" s="6" t="n">
        <v>22</v>
      </c>
      <c r="F50" s="6" t="n">
        <v>489</v>
      </c>
      <c r="G50" s="6" t="n">
        <v>472</v>
      </c>
      <c r="H50" s="6" t="n">
        <v>23</v>
      </c>
      <c r="I50" s="7" t="n">
        <v>73787</v>
      </c>
      <c r="J50" s="6" t="n">
        <v>8</v>
      </c>
      <c r="K50" s="5" t="s">
        <v>338</v>
      </c>
    </row>
    <row r="51" customFormat="false" ht="15" hidden="false" customHeight="false" outlineLevel="0" collapsed="false">
      <c r="A51" s="8" t="s">
        <v>86</v>
      </c>
      <c r="B51" s="8" t="s">
        <v>77</v>
      </c>
      <c r="C51" s="8" t="s">
        <v>37</v>
      </c>
      <c r="D51" s="9" t="n">
        <v>19</v>
      </c>
      <c r="E51" s="9" t="n">
        <v>22</v>
      </c>
      <c r="F51" s="9" t="n">
        <v>485</v>
      </c>
      <c r="G51" s="9" t="n">
        <v>455</v>
      </c>
      <c r="H51" s="9" t="n">
        <v>19</v>
      </c>
      <c r="I51" s="10" t="n">
        <v>78611</v>
      </c>
      <c r="J51" s="9" t="n">
        <v>5</v>
      </c>
      <c r="K51" s="8" t="s">
        <v>338</v>
      </c>
    </row>
    <row r="52" customFormat="false" ht="15" hidden="false" customHeight="false" outlineLevel="0" collapsed="false">
      <c r="A52" s="5" t="s">
        <v>87</v>
      </c>
      <c r="B52" s="5" t="s">
        <v>77</v>
      </c>
      <c r="C52" s="5" t="s">
        <v>43</v>
      </c>
      <c r="D52" s="6" t="n">
        <v>13</v>
      </c>
      <c r="E52" s="6" t="n">
        <v>22</v>
      </c>
      <c r="F52" s="6" t="n">
        <v>210</v>
      </c>
      <c r="G52" s="6" t="n">
        <v>218</v>
      </c>
      <c r="H52" s="6" t="n">
        <v>33</v>
      </c>
      <c r="I52" s="7" t="n">
        <v>70421</v>
      </c>
      <c r="J52" s="6" t="n">
        <v>17</v>
      </c>
      <c r="K52" s="5" t="s">
        <v>338</v>
      </c>
    </row>
    <row r="53" customFormat="false" ht="15" hidden="false" customHeight="false" outlineLevel="0" collapsed="false">
      <c r="A53" s="8" t="s">
        <v>88</v>
      </c>
      <c r="B53" s="8" t="s">
        <v>77</v>
      </c>
      <c r="C53" s="8" t="s">
        <v>43</v>
      </c>
      <c r="D53" s="9" t="n">
        <v>16</v>
      </c>
      <c r="E53" s="9" t="n">
        <v>22</v>
      </c>
      <c r="F53" s="9" t="n">
        <v>183</v>
      </c>
      <c r="G53" s="9" t="n">
        <v>167</v>
      </c>
      <c r="H53" s="9" t="n">
        <v>21</v>
      </c>
      <c r="I53" s="10" t="n">
        <v>73204</v>
      </c>
      <c r="J53" s="9" t="n">
        <v>13</v>
      </c>
      <c r="K53" s="8" t="s">
        <v>338</v>
      </c>
    </row>
    <row r="54" customFormat="false" ht="15" hidden="false" customHeight="false" outlineLevel="0" collapsed="false">
      <c r="A54" s="5" t="s">
        <v>89</v>
      </c>
      <c r="B54" s="5" t="s">
        <v>77</v>
      </c>
      <c r="C54" s="5" t="s">
        <v>43</v>
      </c>
      <c r="D54" s="6" t="n">
        <v>16</v>
      </c>
      <c r="E54" s="6" t="n">
        <v>22</v>
      </c>
      <c r="F54" s="6" t="n">
        <v>200</v>
      </c>
      <c r="G54" s="6" t="n">
        <v>197</v>
      </c>
      <c r="H54" s="6" t="n">
        <v>27</v>
      </c>
      <c r="I54" s="7" t="n">
        <v>71136</v>
      </c>
      <c r="J54" s="6" t="n">
        <v>13</v>
      </c>
      <c r="K54" s="5" t="s">
        <v>338</v>
      </c>
    </row>
    <row r="55" customFormat="false" ht="15" hidden="false" customHeight="false" outlineLevel="0" collapsed="false">
      <c r="A55" s="8" t="s">
        <v>90</v>
      </c>
      <c r="B55" s="8" t="s">
        <v>77</v>
      </c>
      <c r="C55" s="8" t="s">
        <v>43</v>
      </c>
      <c r="D55" s="9" t="n">
        <v>16</v>
      </c>
      <c r="E55" s="9" t="n">
        <v>22</v>
      </c>
      <c r="F55" s="9" t="n">
        <v>211</v>
      </c>
      <c r="G55" s="9" t="n">
        <v>222</v>
      </c>
      <c r="H55" s="9" t="n">
        <v>25</v>
      </c>
      <c r="I55" s="10" t="n">
        <v>63515</v>
      </c>
      <c r="J55" s="9" t="n">
        <v>25</v>
      </c>
      <c r="K55" s="8" t="s">
        <v>338</v>
      </c>
    </row>
    <row r="56" customFormat="false" ht="15" hidden="false" customHeight="false" outlineLevel="0" collapsed="false">
      <c r="A56" s="5" t="s">
        <v>91</v>
      </c>
      <c r="B56" s="5" t="s">
        <v>77</v>
      </c>
      <c r="C56" s="5" t="s">
        <v>43</v>
      </c>
      <c r="D56" s="6" t="n">
        <v>15</v>
      </c>
      <c r="E56" s="6" t="n">
        <v>22</v>
      </c>
      <c r="F56" s="6" t="n">
        <v>212</v>
      </c>
      <c r="G56" s="6" t="n">
        <v>205</v>
      </c>
      <c r="H56" s="6" t="n">
        <v>29</v>
      </c>
      <c r="I56" s="7" t="n">
        <v>71100</v>
      </c>
      <c r="J56" s="6" t="n">
        <v>20</v>
      </c>
      <c r="K56" s="5" t="s">
        <v>338</v>
      </c>
    </row>
    <row r="57" customFormat="false" ht="15" hidden="false" customHeight="false" outlineLevel="0" collapsed="false">
      <c r="A57" s="8" t="s">
        <v>92</v>
      </c>
      <c r="B57" s="8" t="s">
        <v>77</v>
      </c>
      <c r="C57" s="8" t="s">
        <v>49</v>
      </c>
      <c r="D57" s="9" t="n">
        <v>9</v>
      </c>
      <c r="E57" s="9" t="n">
        <v>22</v>
      </c>
      <c r="F57" s="9" t="n">
        <v>336</v>
      </c>
      <c r="G57" s="9" t="n">
        <v>334</v>
      </c>
      <c r="H57" s="9" t="n">
        <v>14</v>
      </c>
      <c r="I57" s="10" t="n">
        <v>43845</v>
      </c>
      <c r="J57" s="9" t="n">
        <v>2</v>
      </c>
      <c r="K57" s="8" t="s">
        <v>338</v>
      </c>
    </row>
    <row r="58" customFormat="false" ht="15" hidden="false" customHeight="false" outlineLevel="0" collapsed="false">
      <c r="A58" s="5" t="s">
        <v>93</v>
      </c>
      <c r="B58" s="5" t="s">
        <v>77</v>
      </c>
      <c r="C58" s="5" t="s">
        <v>49</v>
      </c>
      <c r="D58" s="6" t="n">
        <v>11</v>
      </c>
      <c r="E58" s="6" t="n">
        <v>22</v>
      </c>
      <c r="F58" s="6" t="n">
        <v>341</v>
      </c>
      <c r="G58" s="6" t="n">
        <v>359</v>
      </c>
      <c r="H58" s="6" t="n">
        <v>17</v>
      </c>
      <c r="I58" s="7" t="n">
        <v>41121</v>
      </c>
      <c r="J58" s="6" t="n">
        <v>2</v>
      </c>
      <c r="K58" s="5" t="s">
        <v>338</v>
      </c>
    </row>
    <row r="59" customFormat="false" ht="15" hidden="false" customHeight="false" outlineLevel="0" collapsed="false">
      <c r="A59" s="8" t="s">
        <v>94</v>
      </c>
      <c r="B59" s="8" t="s">
        <v>77</v>
      </c>
      <c r="C59" s="8" t="s">
        <v>49</v>
      </c>
      <c r="D59" s="9" t="n">
        <v>8</v>
      </c>
      <c r="E59" s="9" t="n">
        <v>22</v>
      </c>
      <c r="F59" s="9" t="n">
        <v>318</v>
      </c>
      <c r="G59" s="9" t="n">
        <v>299</v>
      </c>
      <c r="H59" s="9" t="n">
        <v>10</v>
      </c>
      <c r="I59" s="10" t="n">
        <v>42542</v>
      </c>
      <c r="J59" s="9" t="n">
        <v>2</v>
      </c>
      <c r="K59" s="8" t="s">
        <v>338</v>
      </c>
    </row>
    <row r="60" customFormat="false" ht="15" hidden="false" customHeight="false" outlineLevel="0" collapsed="false">
      <c r="A60" s="5" t="s">
        <v>95</v>
      </c>
      <c r="B60" s="5" t="s">
        <v>77</v>
      </c>
      <c r="C60" s="5" t="s">
        <v>49</v>
      </c>
      <c r="D60" s="6" t="n">
        <v>12</v>
      </c>
      <c r="E60" s="6" t="n">
        <v>22</v>
      </c>
      <c r="F60" s="6" t="n">
        <v>343</v>
      </c>
      <c r="G60" s="6" t="n">
        <v>349</v>
      </c>
      <c r="H60" s="6" t="n">
        <v>13</v>
      </c>
      <c r="I60" s="7" t="n">
        <v>41987</v>
      </c>
      <c r="J60" s="6" t="n">
        <v>3</v>
      </c>
      <c r="K60" s="5" t="s">
        <v>338</v>
      </c>
    </row>
    <row r="61" customFormat="false" ht="15" hidden="false" customHeight="false" outlineLevel="0" collapsed="false">
      <c r="A61" s="8" t="s">
        <v>96</v>
      </c>
      <c r="B61" s="8" t="s">
        <v>77</v>
      </c>
      <c r="C61" s="8" t="s">
        <v>49</v>
      </c>
      <c r="D61" s="9" t="n">
        <v>9</v>
      </c>
      <c r="E61" s="9" t="n">
        <v>22</v>
      </c>
      <c r="F61" s="9" t="n">
        <v>315</v>
      </c>
      <c r="G61" s="9" t="n">
        <v>310</v>
      </c>
      <c r="H61" s="9" t="n">
        <v>13</v>
      </c>
      <c r="I61" s="10" t="n">
        <v>42772</v>
      </c>
      <c r="J61" s="9" t="n">
        <v>3</v>
      </c>
      <c r="K61" s="8" t="s">
        <v>338</v>
      </c>
    </row>
    <row r="62" customFormat="false" ht="15" hidden="false" customHeight="false" outlineLevel="0" collapsed="false">
      <c r="A62" s="5" t="s">
        <v>97</v>
      </c>
      <c r="B62" s="5" t="s">
        <v>98</v>
      </c>
      <c r="C62" s="5" t="s">
        <v>30</v>
      </c>
      <c r="D62" s="6" t="n">
        <v>17</v>
      </c>
      <c r="E62" s="6" t="n">
        <v>22</v>
      </c>
      <c r="F62" s="6" t="n">
        <v>276</v>
      </c>
      <c r="G62" s="6" t="n">
        <v>260</v>
      </c>
      <c r="H62" s="6" t="n">
        <v>18</v>
      </c>
      <c r="I62" s="7" t="n">
        <v>60921</v>
      </c>
      <c r="J62" s="6" t="n">
        <v>10</v>
      </c>
      <c r="K62" s="5" t="s">
        <v>338</v>
      </c>
    </row>
    <row r="63" customFormat="false" ht="15" hidden="false" customHeight="false" outlineLevel="0" collapsed="false">
      <c r="A63" s="8" t="s">
        <v>99</v>
      </c>
      <c r="B63" s="8" t="s">
        <v>98</v>
      </c>
      <c r="C63" s="8" t="s">
        <v>30</v>
      </c>
      <c r="D63" s="9" t="n">
        <v>16</v>
      </c>
      <c r="E63" s="9" t="n">
        <v>22</v>
      </c>
      <c r="F63" s="9" t="n">
        <v>286</v>
      </c>
      <c r="G63" s="9" t="n">
        <v>256</v>
      </c>
      <c r="H63" s="9" t="n">
        <v>23</v>
      </c>
      <c r="I63" s="10" t="n">
        <v>57186</v>
      </c>
      <c r="J63" s="9" t="n">
        <v>8</v>
      </c>
      <c r="K63" s="8" t="s">
        <v>338</v>
      </c>
    </row>
    <row r="64" customFormat="false" ht="15" hidden="false" customHeight="false" outlineLevel="0" collapsed="false">
      <c r="A64" s="5" t="s">
        <v>100</v>
      </c>
      <c r="B64" s="5" t="s">
        <v>98</v>
      </c>
      <c r="C64" s="5" t="s">
        <v>30</v>
      </c>
      <c r="D64" s="6" t="n">
        <v>18</v>
      </c>
      <c r="E64" s="6" t="n">
        <v>22</v>
      </c>
      <c r="F64" s="6" t="n">
        <v>263</v>
      </c>
      <c r="G64" s="6" t="n">
        <v>271</v>
      </c>
      <c r="H64" s="6" t="n">
        <v>24</v>
      </c>
      <c r="I64" s="7" t="n">
        <v>58577</v>
      </c>
      <c r="J64" s="6" t="n">
        <v>7</v>
      </c>
      <c r="K64" s="5" t="s">
        <v>338</v>
      </c>
    </row>
    <row r="65" customFormat="false" ht="15" hidden="false" customHeight="false" outlineLevel="0" collapsed="false">
      <c r="A65" s="8" t="s">
        <v>101</v>
      </c>
      <c r="B65" s="8" t="s">
        <v>98</v>
      </c>
      <c r="C65" s="8" t="s">
        <v>30</v>
      </c>
      <c r="D65" s="9" t="n">
        <v>14</v>
      </c>
      <c r="E65" s="9" t="n">
        <v>22</v>
      </c>
      <c r="F65" s="9" t="n">
        <v>271</v>
      </c>
      <c r="G65" s="9" t="n">
        <v>257</v>
      </c>
      <c r="H65" s="9" t="n">
        <v>24</v>
      </c>
      <c r="I65" s="10" t="n">
        <v>61050</v>
      </c>
      <c r="J65" s="9" t="n">
        <v>8</v>
      </c>
      <c r="K65" s="8" t="s">
        <v>338</v>
      </c>
    </row>
    <row r="66" customFormat="false" ht="15" hidden="false" customHeight="false" outlineLevel="0" collapsed="false">
      <c r="A66" s="5" t="s">
        <v>102</v>
      </c>
      <c r="B66" s="5" t="s">
        <v>98</v>
      </c>
      <c r="C66" s="5" t="s">
        <v>30</v>
      </c>
      <c r="D66" s="6" t="n">
        <v>17</v>
      </c>
      <c r="E66" s="6" t="n">
        <v>22</v>
      </c>
      <c r="F66" s="6" t="n">
        <v>270</v>
      </c>
      <c r="G66" s="6" t="n">
        <v>258</v>
      </c>
      <c r="H66" s="6" t="n">
        <v>25</v>
      </c>
      <c r="I66" s="7" t="n">
        <v>58268</v>
      </c>
      <c r="J66" s="6" t="n">
        <v>11</v>
      </c>
      <c r="K66" s="5" t="s">
        <v>338</v>
      </c>
    </row>
    <row r="67" customFormat="false" ht="15" hidden="false" customHeight="false" outlineLevel="0" collapsed="false">
      <c r="A67" s="8" t="s">
        <v>103</v>
      </c>
      <c r="B67" s="8" t="s">
        <v>98</v>
      </c>
      <c r="C67" s="8" t="s">
        <v>37</v>
      </c>
      <c r="D67" s="9" t="n">
        <v>20</v>
      </c>
      <c r="E67" s="9" t="n">
        <v>22</v>
      </c>
      <c r="F67" s="9" t="n">
        <v>489</v>
      </c>
      <c r="G67" s="9" t="n">
        <v>439</v>
      </c>
      <c r="H67" s="9" t="n">
        <v>20</v>
      </c>
      <c r="I67" s="10" t="n">
        <v>75297</v>
      </c>
      <c r="J67" s="9" t="n">
        <v>7</v>
      </c>
      <c r="K67" s="8" t="s">
        <v>338</v>
      </c>
    </row>
    <row r="68" customFormat="false" ht="15" hidden="false" customHeight="false" outlineLevel="0" collapsed="false">
      <c r="A68" s="5" t="s">
        <v>104</v>
      </c>
      <c r="B68" s="5" t="s">
        <v>98</v>
      </c>
      <c r="C68" s="5" t="s">
        <v>37</v>
      </c>
      <c r="D68" s="6" t="n">
        <v>21</v>
      </c>
      <c r="E68" s="6" t="n">
        <v>22</v>
      </c>
      <c r="F68" s="6" t="n">
        <v>496</v>
      </c>
      <c r="G68" s="6" t="n">
        <v>474</v>
      </c>
      <c r="H68" s="6" t="n">
        <v>28</v>
      </c>
      <c r="I68" s="7" t="n">
        <v>76890</v>
      </c>
      <c r="J68" s="6" t="n">
        <v>9</v>
      </c>
      <c r="K68" s="5" t="s">
        <v>338</v>
      </c>
    </row>
    <row r="69" customFormat="false" ht="15" hidden="false" customHeight="false" outlineLevel="0" collapsed="false">
      <c r="A69" s="8" t="s">
        <v>105</v>
      </c>
      <c r="B69" s="8" t="s">
        <v>98</v>
      </c>
      <c r="C69" s="8" t="s">
        <v>37</v>
      </c>
      <c r="D69" s="9" t="n">
        <v>23</v>
      </c>
      <c r="E69" s="9" t="n">
        <v>22</v>
      </c>
      <c r="F69" s="9" t="n">
        <v>504</v>
      </c>
      <c r="G69" s="9" t="n">
        <v>525</v>
      </c>
      <c r="H69" s="9" t="n">
        <v>32</v>
      </c>
      <c r="I69" s="10" t="n">
        <v>77246</v>
      </c>
      <c r="J69" s="9" t="n">
        <v>8</v>
      </c>
      <c r="K69" s="8" t="s">
        <v>338</v>
      </c>
    </row>
    <row r="70" customFormat="false" ht="15" hidden="false" customHeight="false" outlineLevel="0" collapsed="false">
      <c r="A70" s="5" t="s">
        <v>106</v>
      </c>
      <c r="B70" s="5" t="s">
        <v>98</v>
      </c>
      <c r="C70" s="5" t="s">
        <v>37</v>
      </c>
      <c r="D70" s="6" t="n">
        <v>19</v>
      </c>
      <c r="E70" s="6" t="n">
        <v>22</v>
      </c>
      <c r="F70" s="6" t="n">
        <v>490</v>
      </c>
      <c r="G70" s="6" t="n">
        <v>466</v>
      </c>
      <c r="H70" s="6" t="n">
        <v>27</v>
      </c>
      <c r="I70" s="7" t="n">
        <v>76786</v>
      </c>
      <c r="J70" s="6" t="n">
        <v>7</v>
      </c>
      <c r="K70" s="5" t="s">
        <v>338</v>
      </c>
    </row>
    <row r="71" customFormat="false" ht="15" hidden="false" customHeight="false" outlineLevel="0" collapsed="false">
      <c r="A71" s="8" t="s">
        <v>107</v>
      </c>
      <c r="B71" s="8" t="s">
        <v>98</v>
      </c>
      <c r="C71" s="8" t="s">
        <v>37</v>
      </c>
      <c r="D71" s="9" t="n">
        <v>22</v>
      </c>
      <c r="E71" s="9" t="n">
        <v>22</v>
      </c>
      <c r="F71" s="9" t="n">
        <v>502</v>
      </c>
      <c r="G71" s="9" t="n">
        <v>457</v>
      </c>
      <c r="H71" s="9" t="n">
        <v>26</v>
      </c>
      <c r="I71" s="10" t="n">
        <v>73097</v>
      </c>
      <c r="J71" s="9" t="n">
        <v>8</v>
      </c>
      <c r="K71" s="8" t="s">
        <v>338</v>
      </c>
    </row>
    <row r="72" customFormat="false" ht="15" hidden="false" customHeight="false" outlineLevel="0" collapsed="false">
      <c r="A72" s="5" t="s">
        <v>108</v>
      </c>
      <c r="B72" s="5" t="s">
        <v>98</v>
      </c>
      <c r="C72" s="5" t="s">
        <v>43</v>
      </c>
      <c r="D72" s="6" t="n">
        <v>12</v>
      </c>
      <c r="E72" s="6" t="n">
        <v>22</v>
      </c>
      <c r="F72" s="6" t="n">
        <v>188</v>
      </c>
      <c r="G72" s="6" t="n">
        <v>192</v>
      </c>
      <c r="H72" s="6" t="n">
        <v>27</v>
      </c>
      <c r="I72" s="7" t="n">
        <v>69095</v>
      </c>
      <c r="J72" s="6" t="n">
        <v>16</v>
      </c>
      <c r="K72" s="5" t="s">
        <v>338</v>
      </c>
    </row>
    <row r="73" customFormat="false" ht="15" hidden="false" customHeight="false" outlineLevel="0" collapsed="false">
      <c r="A73" s="8" t="s">
        <v>109</v>
      </c>
      <c r="B73" s="8" t="s">
        <v>98</v>
      </c>
      <c r="C73" s="8" t="s">
        <v>43</v>
      </c>
      <c r="D73" s="9" t="n">
        <v>14</v>
      </c>
      <c r="E73" s="9" t="n">
        <v>22</v>
      </c>
      <c r="F73" s="9" t="n">
        <v>194</v>
      </c>
      <c r="G73" s="9" t="n">
        <v>185</v>
      </c>
      <c r="H73" s="9" t="n">
        <v>26</v>
      </c>
      <c r="I73" s="10" t="n">
        <v>70968</v>
      </c>
      <c r="J73" s="9" t="n">
        <v>12</v>
      </c>
      <c r="K73" s="8" t="s">
        <v>338</v>
      </c>
    </row>
    <row r="74" customFormat="false" ht="15" hidden="false" customHeight="false" outlineLevel="0" collapsed="false">
      <c r="A74" s="5" t="s">
        <v>110</v>
      </c>
      <c r="B74" s="5" t="s">
        <v>98</v>
      </c>
      <c r="C74" s="5" t="s">
        <v>43</v>
      </c>
      <c r="D74" s="6" t="n">
        <v>15</v>
      </c>
      <c r="E74" s="6" t="n">
        <v>22</v>
      </c>
      <c r="F74" s="6" t="n">
        <v>192</v>
      </c>
      <c r="G74" s="6" t="n">
        <v>188</v>
      </c>
      <c r="H74" s="6" t="n">
        <v>29</v>
      </c>
      <c r="I74" s="7" t="n">
        <v>69346</v>
      </c>
      <c r="J74" s="6" t="n">
        <v>17</v>
      </c>
      <c r="K74" s="5" t="s">
        <v>338</v>
      </c>
    </row>
    <row r="75" customFormat="false" ht="15" hidden="false" customHeight="false" outlineLevel="0" collapsed="false">
      <c r="A75" s="8" t="s">
        <v>111</v>
      </c>
      <c r="B75" s="8" t="s">
        <v>98</v>
      </c>
      <c r="C75" s="8" t="s">
        <v>43</v>
      </c>
      <c r="D75" s="9" t="n">
        <v>12</v>
      </c>
      <c r="E75" s="9" t="n">
        <v>22</v>
      </c>
      <c r="F75" s="9" t="n">
        <v>209</v>
      </c>
      <c r="G75" s="9" t="n">
        <v>199</v>
      </c>
      <c r="H75" s="9" t="n">
        <v>34</v>
      </c>
      <c r="I75" s="10" t="n">
        <v>71879</v>
      </c>
      <c r="J75" s="9" t="n">
        <v>12</v>
      </c>
      <c r="K75" s="8" t="s">
        <v>338</v>
      </c>
    </row>
    <row r="76" customFormat="false" ht="15" hidden="false" customHeight="false" outlineLevel="0" collapsed="false">
      <c r="A76" s="5" t="s">
        <v>112</v>
      </c>
      <c r="B76" s="5" t="s">
        <v>98</v>
      </c>
      <c r="C76" s="5" t="s">
        <v>43</v>
      </c>
      <c r="D76" s="6" t="n">
        <v>16</v>
      </c>
      <c r="E76" s="6" t="n">
        <v>22</v>
      </c>
      <c r="F76" s="6" t="n">
        <v>205</v>
      </c>
      <c r="G76" s="6" t="n">
        <v>197</v>
      </c>
      <c r="H76" s="6" t="n">
        <v>30</v>
      </c>
      <c r="I76" s="7" t="n">
        <v>71539</v>
      </c>
      <c r="J76" s="6" t="n">
        <v>13</v>
      </c>
      <c r="K76" s="5" t="s">
        <v>338</v>
      </c>
    </row>
    <row r="77" customFormat="false" ht="15" hidden="false" customHeight="false" outlineLevel="0" collapsed="false">
      <c r="A77" s="8" t="s">
        <v>113</v>
      </c>
      <c r="B77" s="8" t="s">
        <v>98</v>
      </c>
      <c r="C77" s="8" t="s">
        <v>49</v>
      </c>
      <c r="D77" s="9" t="n">
        <v>8</v>
      </c>
      <c r="E77" s="9" t="n">
        <v>22</v>
      </c>
      <c r="F77" s="9" t="n">
        <v>332</v>
      </c>
      <c r="G77" s="9" t="n">
        <v>310</v>
      </c>
      <c r="H77" s="9" t="n">
        <v>14</v>
      </c>
      <c r="I77" s="10" t="n">
        <v>46557</v>
      </c>
      <c r="J77" s="9" t="n">
        <v>3</v>
      </c>
      <c r="K77" s="8" t="s">
        <v>338</v>
      </c>
    </row>
    <row r="78" customFormat="false" ht="15" hidden="false" customHeight="false" outlineLevel="0" collapsed="false">
      <c r="A78" s="5" t="s">
        <v>114</v>
      </c>
      <c r="B78" s="5" t="s">
        <v>98</v>
      </c>
      <c r="C78" s="5" t="s">
        <v>49</v>
      </c>
      <c r="D78" s="6" t="n">
        <v>9</v>
      </c>
      <c r="E78" s="6" t="n">
        <v>22</v>
      </c>
      <c r="F78" s="6" t="n">
        <v>350</v>
      </c>
      <c r="G78" s="6" t="n">
        <v>337</v>
      </c>
      <c r="H78" s="6" t="n">
        <v>11</v>
      </c>
      <c r="I78" s="7" t="n">
        <v>43717</v>
      </c>
      <c r="J78" s="6" t="n">
        <v>2</v>
      </c>
      <c r="K78" s="5" t="s">
        <v>338</v>
      </c>
    </row>
    <row r="79" customFormat="false" ht="15" hidden="false" customHeight="false" outlineLevel="0" collapsed="false">
      <c r="A79" s="8" t="s">
        <v>115</v>
      </c>
      <c r="B79" s="8" t="s">
        <v>98</v>
      </c>
      <c r="C79" s="8" t="s">
        <v>49</v>
      </c>
      <c r="D79" s="9" t="n">
        <v>9</v>
      </c>
      <c r="E79" s="9" t="n">
        <v>22</v>
      </c>
      <c r="F79" s="9" t="n">
        <v>346</v>
      </c>
      <c r="G79" s="9" t="n">
        <v>318</v>
      </c>
      <c r="H79" s="9" t="n">
        <v>11</v>
      </c>
      <c r="I79" s="10" t="n">
        <v>46642</v>
      </c>
      <c r="J79" s="9" t="n">
        <v>2</v>
      </c>
      <c r="K79" s="8" t="s">
        <v>338</v>
      </c>
    </row>
    <row r="80" customFormat="false" ht="15" hidden="false" customHeight="false" outlineLevel="0" collapsed="false">
      <c r="A80" s="5" t="s">
        <v>116</v>
      </c>
      <c r="B80" s="5" t="s">
        <v>98</v>
      </c>
      <c r="C80" s="5" t="s">
        <v>49</v>
      </c>
      <c r="D80" s="6" t="n">
        <v>12</v>
      </c>
      <c r="E80" s="6" t="n">
        <v>22</v>
      </c>
      <c r="F80" s="6" t="n">
        <v>345</v>
      </c>
      <c r="G80" s="6" t="n">
        <v>339</v>
      </c>
      <c r="H80" s="6" t="n">
        <v>12</v>
      </c>
      <c r="I80" s="7" t="n">
        <v>47025</v>
      </c>
      <c r="J80" s="6" t="n">
        <v>3</v>
      </c>
      <c r="K80" s="5" t="s">
        <v>338</v>
      </c>
    </row>
    <row r="81" customFormat="false" ht="15" hidden="false" customHeight="false" outlineLevel="0" collapsed="false">
      <c r="A81" s="8" t="s">
        <v>117</v>
      </c>
      <c r="B81" s="8" t="s">
        <v>98</v>
      </c>
      <c r="C81" s="8" t="s">
        <v>49</v>
      </c>
      <c r="D81" s="9" t="n">
        <v>11</v>
      </c>
      <c r="E81" s="9" t="n">
        <v>22</v>
      </c>
      <c r="F81" s="9" t="n">
        <v>347</v>
      </c>
      <c r="G81" s="9" t="n">
        <v>334</v>
      </c>
      <c r="H81" s="9" t="n">
        <v>14</v>
      </c>
      <c r="I81" s="10" t="n">
        <v>45386</v>
      </c>
      <c r="J81" s="9" t="n">
        <v>3</v>
      </c>
      <c r="K81" s="8" t="s">
        <v>338</v>
      </c>
    </row>
    <row r="82" customFormat="false" ht="15" hidden="false" customHeight="false" outlineLevel="0" collapsed="false">
      <c r="A82" s="5" t="s">
        <v>118</v>
      </c>
      <c r="B82" s="5" t="s">
        <v>119</v>
      </c>
      <c r="C82" s="5" t="s">
        <v>30</v>
      </c>
      <c r="D82" s="6" t="n">
        <v>15</v>
      </c>
      <c r="E82" s="6" t="n">
        <v>22</v>
      </c>
      <c r="F82" s="6" t="n">
        <v>286</v>
      </c>
      <c r="G82" s="6" t="n">
        <v>276</v>
      </c>
      <c r="H82" s="6" t="n">
        <v>25</v>
      </c>
      <c r="I82" s="7" t="n">
        <v>59967</v>
      </c>
      <c r="J82" s="6" t="n">
        <v>12</v>
      </c>
      <c r="K82" s="5" t="s">
        <v>338</v>
      </c>
    </row>
    <row r="83" customFormat="false" ht="15" hidden="false" customHeight="false" outlineLevel="0" collapsed="false">
      <c r="A83" s="8" t="s">
        <v>120</v>
      </c>
      <c r="B83" s="8" t="s">
        <v>119</v>
      </c>
      <c r="C83" s="8" t="s">
        <v>30</v>
      </c>
      <c r="D83" s="9" t="n">
        <v>14</v>
      </c>
      <c r="E83" s="9" t="n">
        <v>22</v>
      </c>
      <c r="F83" s="9" t="n">
        <v>267</v>
      </c>
      <c r="G83" s="9" t="n">
        <v>240</v>
      </c>
      <c r="H83" s="9" t="n">
        <v>23</v>
      </c>
      <c r="I83" s="10" t="n">
        <v>62936</v>
      </c>
      <c r="J83" s="9" t="n">
        <v>10</v>
      </c>
      <c r="K83" s="8" t="s">
        <v>338</v>
      </c>
    </row>
    <row r="84" customFormat="false" ht="15" hidden="false" customHeight="false" outlineLevel="0" collapsed="false">
      <c r="A84" s="5" t="s">
        <v>121</v>
      </c>
      <c r="B84" s="5" t="s">
        <v>119</v>
      </c>
      <c r="C84" s="5" t="s">
        <v>30</v>
      </c>
      <c r="D84" s="6" t="n">
        <v>18</v>
      </c>
      <c r="E84" s="6" t="n">
        <v>22</v>
      </c>
      <c r="F84" s="6" t="n">
        <v>289</v>
      </c>
      <c r="G84" s="6" t="n">
        <v>251</v>
      </c>
      <c r="H84" s="6" t="n">
        <v>18</v>
      </c>
      <c r="I84" s="7" t="n">
        <v>58844</v>
      </c>
      <c r="J84" s="6" t="n">
        <v>6</v>
      </c>
      <c r="K84" s="5" t="s">
        <v>338</v>
      </c>
    </row>
    <row r="85" customFormat="false" ht="15" hidden="false" customHeight="false" outlineLevel="0" collapsed="false">
      <c r="A85" s="8" t="s">
        <v>122</v>
      </c>
      <c r="B85" s="8" t="s">
        <v>119</v>
      </c>
      <c r="C85" s="8" t="s">
        <v>30</v>
      </c>
      <c r="D85" s="9" t="n">
        <v>17</v>
      </c>
      <c r="E85" s="9" t="n">
        <v>22</v>
      </c>
      <c r="F85" s="9" t="n">
        <v>273</v>
      </c>
      <c r="G85" s="9" t="n">
        <v>282</v>
      </c>
      <c r="H85" s="9" t="n">
        <v>27</v>
      </c>
      <c r="I85" s="10" t="n">
        <v>60888</v>
      </c>
      <c r="J85" s="9" t="n">
        <v>10</v>
      </c>
      <c r="K85" s="8" t="s">
        <v>338</v>
      </c>
    </row>
    <row r="86" customFormat="false" ht="15" hidden="false" customHeight="false" outlineLevel="0" collapsed="false">
      <c r="A86" s="5" t="s">
        <v>123</v>
      </c>
      <c r="B86" s="5" t="s">
        <v>119</v>
      </c>
      <c r="C86" s="5" t="s">
        <v>30</v>
      </c>
      <c r="D86" s="6" t="n">
        <v>18</v>
      </c>
      <c r="E86" s="6" t="n">
        <v>22</v>
      </c>
      <c r="F86" s="6" t="n">
        <v>266</v>
      </c>
      <c r="G86" s="6" t="n">
        <v>253</v>
      </c>
      <c r="H86" s="6" t="n">
        <v>20</v>
      </c>
      <c r="I86" s="7" t="n">
        <v>61610</v>
      </c>
      <c r="J86" s="6" t="n">
        <v>6</v>
      </c>
      <c r="K86" s="5" t="s">
        <v>338</v>
      </c>
    </row>
    <row r="87" customFormat="false" ht="15" hidden="false" customHeight="false" outlineLevel="0" collapsed="false">
      <c r="A87" s="8" t="s">
        <v>124</v>
      </c>
      <c r="B87" s="8" t="s">
        <v>119</v>
      </c>
      <c r="C87" s="8" t="s">
        <v>37</v>
      </c>
      <c r="D87" s="9" t="n">
        <v>20</v>
      </c>
      <c r="E87" s="9" t="n">
        <v>22</v>
      </c>
      <c r="F87" s="9" t="n">
        <v>497</v>
      </c>
      <c r="G87" s="9" t="n">
        <v>488</v>
      </c>
      <c r="H87" s="9" t="n">
        <v>27</v>
      </c>
      <c r="I87" s="10" t="n">
        <v>77158</v>
      </c>
      <c r="J87" s="9" t="n">
        <v>5</v>
      </c>
      <c r="K87" s="8" t="s">
        <v>338</v>
      </c>
    </row>
    <row r="88" customFormat="false" ht="15" hidden="false" customHeight="false" outlineLevel="0" collapsed="false">
      <c r="A88" s="5" t="s">
        <v>125</v>
      </c>
      <c r="B88" s="5" t="s">
        <v>119</v>
      </c>
      <c r="C88" s="5" t="s">
        <v>37</v>
      </c>
      <c r="D88" s="6" t="n">
        <v>24</v>
      </c>
      <c r="E88" s="6" t="n">
        <v>22</v>
      </c>
      <c r="F88" s="6" t="n">
        <v>492</v>
      </c>
      <c r="G88" s="6" t="n">
        <v>477</v>
      </c>
      <c r="H88" s="6" t="n">
        <v>24</v>
      </c>
      <c r="I88" s="7" t="n">
        <v>76766</v>
      </c>
      <c r="J88" s="6" t="n">
        <v>8</v>
      </c>
      <c r="K88" s="5" t="s">
        <v>338</v>
      </c>
    </row>
    <row r="89" customFormat="false" ht="15" hidden="false" customHeight="false" outlineLevel="0" collapsed="false">
      <c r="A89" s="8" t="s">
        <v>126</v>
      </c>
      <c r="B89" s="8" t="s">
        <v>119</v>
      </c>
      <c r="C89" s="8" t="s">
        <v>37</v>
      </c>
      <c r="D89" s="9" t="n">
        <v>19</v>
      </c>
      <c r="E89" s="9" t="n">
        <v>22</v>
      </c>
      <c r="F89" s="9" t="n">
        <v>496</v>
      </c>
      <c r="G89" s="9" t="n">
        <v>469</v>
      </c>
      <c r="H89" s="9" t="n">
        <v>23</v>
      </c>
      <c r="I89" s="10" t="n">
        <v>83683</v>
      </c>
      <c r="J89" s="9" t="n">
        <v>8</v>
      </c>
      <c r="K89" s="8" t="s">
        <v>338</v>
      </c>
    </row>
    <row r="90" customFormat="false" ht="15" hidden="false" customHeight="false" outlineLevel="0" collapsed="false">
      <c r="A90" s="5" t="s">
        <v>127</v>
      </c>
      <c r="B90" s="5" t="s">
        <v>119</v>
      </c>
      <c r="C90" s="5" t="s">
        <v>37</v>
      </c>
      <c r="D90" s="6" t="n">
        <v>23</v>
      </c>
      <c r="E90" s="6" t="n">
        <v>22</v>
      </c>
      <c r="F90" s="6" t="n">
        <v>486</v>
      </c>
      <c r="G90" s="6" t="n">
        <v>475</v>
      </c>
      <c r="H90" s="6" t="n">
        <v>25</v>
      </c>
      <c r="I90" s="7" t="n">
        <v>77875</v>
      </c>
      <c r="J90" s="6" t="n">
        <v>7</v>
      </c>
      <c r="K90" s="5" t="s">
        <v>338</v>
      </c>
    </row>
    <row r="91" customFormat="false" ht="15" hidden="false" customHeight="false" outlineLevel="0" collapsed="false">
      <c r="A91" s="8" t="s">
        <v>128</v>
      </c>
      <c r="B91" s="8" t="s">
        <v>119</v>
      </c>
      <c r="C91" s="8" t="s">
        <v>37</v>
      </c>
      <c r="D91" s="9" t="n">
        <v>24</v>
      </c>
      <c r="E91" s="9" t="n">
        <v>22</v>
      </c>
      <c r="F91" s="9" t="n">
        <v>511</v>
      </c>
      <c r="G91" s="9" t="n">
        <v>500</v>
      </c>
      <c r="H91" s="9" t="n">
        <v>26</v>
      </c>
      <c r="I91" s="10" t="n">
        <v>76701</v>
      </c>
      <c r="J91" s="9" t="n">
        <v>7</v>
      </c>
      <c r="K91" s="8" t="s">
        <v>338</v>
      </c>
    </row>
    <row r="92" customFormat="false" ht="15" hidden="false" customHeight="false" outlineLevel="0" collapsed="false">
      <c r="A92" s="5" t="s">
        <v>129</v>
      </c>
      <c r="B92" s="5" t="s">
        <v>119</v>
      </c>
      <c r="C92" s="5" t="s">
        <v>43</v>
      </c>
      <c r="D92" s="6" t="n">
        <v>15</v>
      </c>
      <c r="E92" s="6" t="n">
        <v>22</v>
      </c>
      <c r="F92" s="6" t="n">
        <v>218</v>
      </c>
      <c r="G92" s="6" t="n">
        <v>220</v>
      </c>
      <c r="H92" s="6" t="n">
        <v>37</v>
      </c>
      <c r="I92" s="7" t="n">
        <v>72981</v>
      </c>
      <c r="J92" s="6" t="n">
        <v>15</v>
      </c>
      <c r="K92" s="5" t="s">
        <v>338</v>
      </c>
    </row>
    <row r="93" customFormat="false" ht="15" hidden="false" customHeight="false" outlineLevel="0" collapsed="false">
      <c r="A93" s="8" t="s">
        <v>130</v>
      </c>
      <c r="B93" s="8" t="s">
        <v>119</v>
      </c>
      <c r="C93" s="8" t="s">
        <v>43</v>
      </c>
      <c r="D93" s="9" t="n">
        <v>12</v>
      </c>
      <c r="E93" s="9" t="n">
        <v>22</v>
      </c>
      <c r="F93" s="9" t="n">
        <v>198</v>
      </c>
      <c r="G93" s="9" t="n">
        <v>193</v>
      </c>
      <c r="H93" s="9" t="n">
        <v>25</v>
      </c>
      <c r="I93" s="10" t="n">
        <v>71349</v>
      </c>
      <c r="J93" s="9" t="n">
        <v>14</v>
      </c>
      <c r="K93" s="8" t="s">
        <v>338</v>
      </c>
    </row>
    <row r="94" customFormat="false" ht="15" hidden="false" customHeight="false" outlineLevel="0" collapsed="false">
      <c r="A94" s="5" t="s">
        <v>131</v>
      </c>
      <c r="B94" s="5" t="s">
        <v>119</v>
      </c>
      <c r="C94" s="5" t="s">
        <v>43</v>
      </c>
      <c r="D94" s="6" t="n">
        <v>14</v>
      </c>
      <c r="E94" s="6" t="n">
        <v>22</v>
      </c>
      <c r="F94" s="6" t="n">
        <v>199</v>
      </c>
      <c r="G94" s="6" t="n">
        <v>195</v>
      </c>
      <c r="H94" s="6" t="n">
        <v>24</v>
      </c>
      <c r="I94" s="7" t="n">
        <v>70428</v>
      </c>
      <c r="J94" s="6" t="n">
        <v>15</v>
      </c>
      <c r="K94" s="5" t="s">
        <v>338</v>
      </c>
    </row>
    <row r="95" customFormat="false" ht="15" hidden="false" customHeight="false" outlineLevel="0" collapsed="false">
      <c r="A95" s="8" t="s">
        <v>132</v>
      </c>
      <c r="B95" s="8" t="s">
        <v>119</v>
      </c>
      <c r="C95" s="8" t="s">
        <v>43</v>
      </c>
      <c r="D95" s="9" t="n">
        <v>14</v>
      </c>
      <c r="E95" s="9" t="n">
        <v>22</v>
      </c>
      <c r="F95" s="9" t="n">
        <v>220</v>
      </c>
      <c r="G95" s="9" t="n">
        <v>231</v>
      </c>
      <c r="H95" s="9" t="n">
        <v>28</v>
      </c>
      <c r="I95" s="10" t="n">
        <v>71675</v>
      </c>
      <c r="J95" s="9" t="n">
        <v>16</v>
      </c>
      <c r="K95" s="8" t="s">
        <v>338</v>
      </c>
    </row>
    <row r="96" customFormat="false" ht="15" hidden="false" customHeight="false" outlineLevel="0" collapsed="false">
      <c r="A96" s="5" t="s">
        <v>133</v>
      </c>
      <c r="B96" s="5" t="s">
        <v>119</v>
      </c>
      <c r="C96" s="5" t="s">
        <v>43</v>
      </c>
      <c r="D96" s="6" t="n">
        <v>14</v>
      </c>
      <c r="E96" s="6" t="n">
        <v>22</v>
      </c>
      <c r="F96" s="6" t="n">
        <v>209</v>
      </c>
      <c r="G96" s="6" t="n">
        <v>198</v>
      </c>
      <c r="H96" s="6" t="n">
        <v>24</v>
      </c>
      <c r="I96" s="7" t="n">
        <v>70724</v>
      </c>
      <c r="J96" s="6" t="n">
        <v>13</v>
      </c>
      <c r="K96" s="5" t="s">
        <v>338</v>
      </c>
    </row>
    <row r="97" customFormat="false" ht="15" hidden="false" customHeight="false" outlineLevel="0" collapsed="false">
      <c r="A97" s="8" t="s">
        <v>134</v>
      </c>
      <c r="B97" s="8" t="s">
        <v>119</v>
      </c>
      <c r="C97" s="8" t="s">
        <v>49</v>
      </c>
      <c r="D97" s="9" t="n">
        <v>8</v>
      </c>
      <c r="E97" s="9" t="n">
        <v>22</v>
      </c>
      <c r="F97" s="9" t="n">
        <v>329</v>
      </c>
      <c r="G97" s="9" t="n">
        <v>300</v>
      </c>
      <c r="H97" s="9" t="n">
        <v>11</v>
      </c>
      <c r="I97" s="10" t="n">
        <v>45099</v>
      </c>
      <c r="J97" s="9" t="n">
        <v>2</v>
      </c>
      <c r="K97" s="8" t="s">
        <v>338</v>
      </c>
    </row>
    <row r="98" customFormat="false" ht="15" hidden="false" customHeight="false" outlineLevel="0" collapsed="false">
      <c r="A98" s="5" t="s">
        <v>135</v>
      </c>
      <c r="B98" s="5" t="s">
        <v>119</v>
      </c>
      <c r="C98" s="5" t="s">
        <v>49</v>
      </c>
      <c r="D98" s="6" t="n">
        <v>12</v>
      </c>
      <c r="E98" s="6" t="n">
        <v>22</v>
      </c>
      <c r="F98" s="6" t="n">
        <v>351</v>
      </c>
      <c r="G98" s="6" t="n">
        <v>330</v>
      </c>
      <c r="H98" s="6" t="n">
        <v>15</v>
      </c>
      <c r="I98" s="7" t="n">
        <v>45651</v>
      </c>
      <c r="J98" s="6" t="n">
        <v>3</v>
      </c>
      <c r="K98" s="5" t="s">
        <v>338</v>
      </c>
    </row>
    <row r="99" customFormat="false" ht="15" hidden="false" customHeight="false" outlineLevel="0" collapsed="false">
      <c r="A99" s="8" t="s">
        <v>136</v>
      </c>
      <c r="B99" s="8" t="s">
        <v>119</v>
      </c>
      <c r="C99" s="8" t="s">
        <v>49</v>
      </c>
      <c r="D99" s="9" t="n">
        <v>12</v>
      </c>
      <c r="E99" s="9" t="n">
        <v>22</v>
      </c>
      <c r="F99" s="9" t="n">
        <v>341</v>
      </c>
      <c r="G99" s="9" t="n">
        <v>342</v>
      </c>
      <c r="H99" s="9" t="n">
        <v>15</v>
      </c>
      <c r="I99" s="10" t="n">
        <v>44515</v>
      </c>
      <c r="J99" s="9" t="n">
        <v>2</v>
      </c>
      <c r="K99" s="8" t="s">
        <v>338</v>
      </c>
    </row>
    <row r="100" customFormat="false" ht="15" hidden="false" customHeight="false" outlineLevel="0" collapsed="false">
      <c r="A100" s="5" t="s">
        <v>137</v>
      </c>
      <c r="B100" s="5" t="s">
        <v>119</v>
      </c>
      <c r="C100" s="5" t="s">
        <v>49</v>
      </c>
      <c r="D100" s="6" t="n">
        <v>9</v>
      </c>
      <c r="E100" s="6" t="n">
        <v>22</v>
      </c>
      <c r="F100" s="6" t="n">
        <v>352</v>
      </c>
      <c r="G100" s="6" t="n">
        <v>332</v>
      </c>
      <c r="H100" s="6" t="n">
        <v>15</v>
      </c>
      <c r="I100" s="7" t="n">
        <v>42376</v>
      </c>
      <c r="J100" s="6" t="n">
        <v>1</v>
      </c>
      <c r="K100" s="5" t="s">
        <v>338</v>
      </c>
    </row>
    <row r="101" customFormat="false" ht="15" hidden="false" customHeight="false" outlineLevel="0" collapsed="false">
      <c r="A101" s="8" t="s">
        <v>138</v>
      </c>
      <c r="B101" s="8" t="s">
        <v>119</v>
      </c>
      <c r="C101" s="8" t="s">
        <v>49</v>
      </c>
      <c r="D101" s="9" t="n">
        <v>10</v>
      </c>
      <c r="E101" s="9" t="n">
        <v>22</v>
      </c>
      <c r="F101" s="9" t="n">
        <v>331</v>
      </c>
      <c r="G101" s="9" t="n">
        <v>332</v>
      </c>
      <c r="H101" s="9" t="n">
        <v>15</v>
      </c>
      <c r="I101" s="10" t="n">
        <v>46000</v>
      </c>
      <c r="J101" s="9" t="n">
        <v>1</v>
      </c>
      <c r="K101" s="8" t="s">
        <v>338</v>
      </c>
    </row>
    <row r="102" customFormat="false" ht="15" hidden="false" customHeight="false" outlineLevel="0" collapsed="false">
      <c r="A102" s="5" t="s">
        <v>139</v>
      </c>
      <c r="B102" s="5" t="s">
        <v>140</v>
      </c>
      <c r="C102" s="5" t="s">
        <v>30</v>
      </c>
      <c r="D102" s="6" t="n">
        <v>15</v>
      </c>
      <c r="E102" s="6" t="n">
        <v>22</v>
      </c>
      <c r="F102" s="6" t="n">
        <v>294</v>
      </c>
      <c r="G102" s="6" t="n">
        <v>274</v>
      </c>
      <c r="H102" s="6" t="n">
        <v>24</v>
      </c>
      <c r="I102" s="7" t="n">
        <v>61180</v>
      </c>
      <c r="J102" s="6" t="n">
        <v>7</v>
      </c>
      <c r="K102" s="5" t="s">
        <v>338</v>
      </c>
    </row>
    <row r="103" customFormat="false" ht="15" hidden="false" customHeight="false" outlineLevel="0" collapsed="false">
      <c r="A103" s="8" t="s">
        <v>141</v>
      </c>
      <c r="B103" s="8" t="s">
        <v>140</v>
      </c>
      <c r="C103" s="8" t="s">
        <v>30</v>
      </c>
      <c r="D103" s="9" t="n">
        <v>14</v>
      </c>
      <c r="E103" s="9" t="n">
        <v>22</v>
      </c>
      <c r="F103" s="9" t="n">
        <v>276</v>
      </c>
      <c r="G103" s="9" t="n">
        <v>260</v>
      </c>
      <c r="H103" s="9" t="n">
        <v>17</v>
      </c>
      <c r="I103" s="10" t="n">
        <v>59601</v>
      </c>
      <c r="J103" s="9" t="n">
        <v>11</v>
      </c>
      <c r="K103" s="8" t="s">
        <v>338</v>
      </c>
    </row>
    <row r="104" customFormat="false" ht="15" hidden="false" customHeight="false" outlineLevel="0" collapsed="false">
      <c r="A104" s="5" t="s">
        <v>142</v>
      </c>
      <c r="B104" s="5" t="s">
        <v>140</v>
      </c>
      <c r="C104" s="5" t="s">
        <v>30</v>
      </c>
      <c r="D104" s="6" t="n">
        <v>17</v>
      </c>
      <c r="E104" s="6" t="n">
        <v>22</v>
      </c>
      <c r="F104" s="6" t="n">
        <v>284</v>
      </c>
      <c r="G104" s="6" t="n">
        <v>287</v>
      </c>
      <c r="H104" s="6" t="n">
        <v>23</v>
      </c>
      <c r="I104" s="7" t="n">
        <v>62807</v>
      </c>
      <c r="J104" s="6" t="n">
        <v>7</v>
      </c>
      <c r="K104" s="5" t="s">
        <v>338</v>
      </c>
    </row>
    <row r="105" customFormat="false" ht="15" hidden="false" customHeight="false" outlineLevel="0" collapsed="false">
      <c r="A105" s="8" t="s">
        <v>143</v>
      </c>
      <c r="B105" s="8" t="s">
        <v>140</v>
      </c>
      <c r="C105" s="8" t="s">
        <v>30</v>
      </c>
      <c r="D105" s="9" t="n">
        <v>15</v>
      </c>
      <c r="E105" s="9" t="n">
        <v>22</v>
      </c>
      <c r="F105" s="9" t="n">
        <v>267</v>
      </c>
      <c r="G105" s="9" t="n">
        <v>274</v>
      </c>
      <c r="H105" s="9" t="n">
        <v>21</v>
      </c>
      <c r="I105" s="10" t="n">
        <v>65270</v>
      </c>
      <c r="J105" s="9" t="n">
        <v>8</v>
      </c>
      <c r="K105" s="8" t="s">
        <v>338</v>
      </c>
    </row>
    <row r="106" customFormat="false" ht="15" hidden="false" customHeight="false" outlineLevel="0" collapsed="false">
      <c r="A106" s="5" t="s">
        <v>144</v>
      </c>
      <c r="B106" s="5" t="s">
        <v>140</v>
      </c>
      <c r="C106" s="5" t="s">
        <v>30</v>
      </c>
      <c r="D106" s="6" t="n">
        <v>17</v>
      </c>
      <c r="E106" s="6" t="n">
        <v>22</v>
      </c>
      <c r="F106" s="6" t="n">
        <v>285</v>
      </c>
      <c r="G106" s="6" t="n">
        <v>260</v>
      </c>
      <c r="H106" s="6" t="n">
        <v>21</v>
      </c>
      <c r="I106" s="7" t="n">
        <v>62700</v>
      </c>
      <c r="J106" s="6" t="n">
        <v>8</v>
      </c>
      <c r="K106" s="5" t="s">
        <v>338</v>
      </c>
    </row>
    <row r="107" customFormat="false" ht="15" hidden="false" customHeight="false" outlineLevel="0" collapsed="false">
      <c r="A107" s="8" t="s">
        <v>145</v>
      </c>
      <c r="B107" s="8" t="s">
        <v>140</v>
      </c>
      <c r="C107" s="8" t="s">
        <v>37</v>
      </c>
      <c r="D107" s="9" t="n">
        <v>18</v>
      </c>
      <c r="E107" s="9" t="n">
        <v>22</v>
      </c>
      <c r="F107" s="9" t="n">
        <v>522</v>
      </c>
      <c r="G107" s="9" t="n">
        <v>502</v>
      </c>
      <c r="H107" s="9" t="n">
        <v>29</v>
      </c>
      <c r="I107" s="10" t="n">
        <v>73787</v>
      </c>
      <c r="J107" s="9" t="n">
        <v>5</v>
      </c>
      <c r="K107" s="8" t="s">
        <v>338</v>
      </c>
    </row>
    <row r="108" customFormat="false" ht="15" hidden="false" customHeight="false" outlineLevel="0" collapsed="false">
      <c r="A108" s="5" t="s">
        <v>146</v>
      </c>
      <c r="B108" s="5" t="s">
        <v>140</v>
      </c>
      <c r="C108" s="5" t="s">
        <v>37</v>
      </c>
      <c r="D108" s="6" t="n">
        <v>23</v>
      </c>
      <c r="E108" s="6" t="n">
        <v>22</v>
      </c>
      <c r="F108" s="6" t="n">
        <v>520</v>
      </c>
      <c r="G108" s="6" t="n">
        <v>508</v>
      </c>
      <c r="H108" s="6" t="n">
        <v>30</v>
      </c>
      <c r="I108" s="7" t="n">
        <v>81357</v>
      </c>
      <c r="J108" s="6" t="n">
        <v>5</v>
      </c>
      <c r="K108" s="5" t="s">
        <v>338</v>
      </c>
    </row>
    <row r="109" customFormat="false" ht="15" hidden="false" customHeight="false" outlineLevel="0" collapsed="false">
      <c r="A109" s="8" t="s">
        <v>147</v>
      </c>
      <c r="B109" s="8" t="s">
        <v>140</v>
      </c>
      <c r="C109" s="8" t="s">
        <v>37</v>
      </c>
      <c r="D109" s="9" t="n">
        <v>23</v>
      </c>
      <c r="E109" s="9" t="n">
        <v>22</v>
      </c>
      <c r="F109" s="9" t="n">
        <v>519</v>
      </c>
      <c r="G109" s="9" t="n">
        <v>513</v>
      </c>
      <c r="H109" s="9" t="n">
        <v>31</v>
      </c>
      <c r="I109" s="10" t="n">
        <v>76877</v>
      </c>
      <c r="J109" s="9" t="n">
        <v>7</v>
      </c>
      <c r="K109" s="8" t="s">
        <v>338</v>
      </c>
    </row>
    <row r="110" customFormat="false" ht="15" hidden="false" customHeight="false" outlineLevel="0" collapsed="false">
      <c r="A110" s="5" t="s">
        <v>148</v>
      </c>
      <c r="B110" s="5" t="s">
        <v>140</v>
      </c>
      <c r="C110" s="5" t="s">
        <v>37</v>
      </c>
      <c r="D110" s="6" t="n">
        <v>19</v>
      </c>
      <c r="E110" s="6" t="n">
        <v>22</v>
      </c>
      <c r="F110" s="6" t="n">
        <v>494</v>
      </c>
      <c r="G110" s="6" t="n">
        <v>468</v>
      </c>
      <c r="H110" s="6" t="n">
        <v>23</v>
      </c>
      <c r="I110" s="7" t="n">
        <v>76819</v>
      </c>
      <c r="J110" s="6" t="n">
        <v>7</v>
      </c>
      <c r="K110" s="5" t="s">
        <v>338</v>
      </c>
    </row>
    <row r="111" customFormat="false" ht="15" hidden="false" customHeight="false" outlineLevel="0" collapsed="false">
      <c r="A111" s="8" t="s">
        <v>149</v>
      </c>
      <c r="B111" s="8" t="s">
        <v>140</v>
      </c>
      <c r="C111" s="8" t="s">
        <v>37</v>
      </c>
      <c r="D111" s="9" t="n">
        <v>18</v>
      </c>
      <c r="E111" s="9" t="n">
        <v>22</v>
      </c>
      <c r="F111" s="9" t="n">
        <v>501</v>
      </c>
      <c r="G111" s="9" t="n">
        <v>491</v>
      </c>
      <c r="H111" s="9" t="n">
        <v>22</v>
      </c>
      <c r="I111" s="10" t="n">
        <v>77051</v>
      </c>
      <c r="J111" s="9" t="n">
        <v>7</v>
      </c>
      <c r="K111" s="8" t="s">
        <v>338</v>
      </c>
    </row>
    <row r="112" customFormat="false" ht="15" hidden="false" customHeight="false" outlineLevel="0" collapsed="false">
      <c r="A112" s="5" t="s">
        <v>150</v>
      </c>
      <c r="B112" s="5" t="s">
        <v>140</v>
      </c>
      <c r="C112" s="5" t="s">
        <v>43</v>
      </c>
      <c r="D112" s="6" t="n">
        <v>14</v>
      </c>
      <c r="E112" s="6" t="n">
        <v>22</v>
      </c>
      <c r="F112" s="6" t="n">
        <v>203</v>
      </c>
      <c r="G112" s="6" t="n">
        <v>191</v>
      </c>
      <c r="H112" s="6" t="n">
        <v>25</v>
      </c>
      <c r="I112" s="7" t="n">
        <v>73752</v>
      </c>
      <c r="J112" s="6" t="n">
        <v>13</v>
      </c>
      <c r="K112" s="5" t="s">
        <v>338</v>
      </c>
    </row>
    <row r="113" customFormat="false" ht="15" hidden="false" customHeight="false" outlineLevel="0" collapsed="false">
      <c r="A113" s="8" t="s">
        <v>151</v>
      </c>
      <c r="B113" s="8" t="s">
        <v>140</v>
      </c>
      <c r="C113" s="8" t="s">
        <v>43</v>
      </c>
      <c r="D113" s="9" t="n">
        <v>13</v>
      </c>
      <c r="E113" s="9" t="n">
        <v>22</v>
      </c>
      <c r="F113" s="9" t="n">
        <v>192</v>
      </c>
      <c r="G113" s="9" t="n">
        <v>193</v>
      </c>
      <c r="H113" s="9" t="n">
        <v>24</v>
      </c>
      <c r="I113" s="10" t="n">
        <v>72475</v>
      </c>
      <c r="J113" s="9" t="n">
        <v>19</v>
      </c>
      <c r="K113" s="8" t="s">
        <v>338</v>
      </c>
    </row>
    <row r="114" customFormat="false" ht="15" hidden="false" customHeight="false" outlineLevel="0" collapsed="false">
      <c r="A114" s="5" t="s">
        <v>152</v>
      </c>
      <c r="B114" s="5" t="s">
        <v>140</v>
      </c>
      <c r="C114" s="5" t="s">
        <v>43</v>
      </c>
      <c r="D114" s="6" t="n">
        <v>12</v>
      </c>
      <c r="E114" s="6" t="n">
        <v>22</v>
      </c>
      <c r="F114" s="6" t="n">
        <v>199</v>
      </c>
      <c r="G114" s="6" t="n">
        <v>187</v>
      </c>
      <c r="H114" s="6" t="n">
        <v>4</v>
      </c>
      <c r="I114" s="7" t="n">
        <v>78635</v>
      </c>
      <c r="J114" s="6" t="n">
        <v>15</v>
      </c>
      <c r="K114" s="5" t="s">
        <v>338</v>
      </c>
    </row>
    <row r="115" customFormat="false" ht="15" hidden="false" customHeight="false" outlineLevel="0" collapsed="false">
      <c r="A115" s="8" t="s">
        <v>154</v>
      </c>
      <c r="B115" s="8" t="s">
        <v>140</v>
      </c>
      <c r="C115" s="8" t="s">
        <v>43</v>
      </c>
      <c r="D115" s="9" t="n">
        <v>12</v>
      </c>
      <c r="E115" s="9" t="n">
        <v>22</v>
      </c>
      <c r="F115" s="9" t="n">
        <v>195</v>
      </c>
      <c r="G115" s="9" t="n">
        <v>192</v>
      </c>
      <c r="H115" s="9" t="n">
        <v>32</v>
      </c>
      <c r="I115" s="10" t="n">
        <v>72420</v>
      </c>
      <c r="J115" s="9" t="n">
        <v>13</v>
      </c>
      <c r="K115" s="8" t="s">
        <v>338</v>
      </c>
    </row>
    <row r="116" customFormat="false" ht="15" hidden="false" customHeight="false" outlineLevel="0" collapsed="false">
      <c r="A116" s="5" t="s">
        <v>155</v>
      </c>
      <c r="B116" s="5" t="s">
        <v>140</v>
      </c>
      <c r="C116" s="5" t="s">
        <v>43</v>
      </c>
      <c r="D116" s="6" t="n">
        <v>14</v>
      </c>
      <c r="E116" s="6" t="n">
        <v>22</v>
      </c>
      <c r="F116" s="6" t="n">
        <v>191</v>
      </c>
      <c r="G116" s="6" t="n">
        <v>188</v>
      </c>
      <c r="H116" s="6" t="n">
        <v>31</v>
      </c>
      <c r="I116" s="7" t="n">
        <v>76888</v>
      </c>
      <c r="J116" s="6" t="n">
        <v>13</v>
      </c>
      <c r="K116" s="5" t="s">
        <v>338</v>
      </c>
    </row>
    <row r="117" customFormat="false" ht="15" hidden="false" customHeight="false" outlineLevel="0" collapsed="false">
      <c r="A117" s="8" t="s">
        <v>156</v>
      </c>
      <c r="B117" s="8" t="s">
        <v>140</v>
      </c>
      <c r="C117" s="8" t="s">
        <v>49</v>
      </c>
      <c r="D117" s="9" t="n">
        <v>8</v>
      </c>
      <c r="E117" s="9" t="n">
        <v>22</v>
      </c>
      <c r="F117" s="9" t="n">
        <v>342</v>
      </c>
      <c r="G117" s="9" t="n">
        <v>338</v>
      </c>
      <c r="H117" s="9" t="n">
        <v>11</v>
      </c>
      <c r="I117" s="10" t="n">
        <v>46859</v>
      </c>
      <c r="J117" s="9" t="n">
        <v>2</v>
      </c>
      <c r="K117" s="8" t="s">
        <v>338</v>
      </c>
    </row>
    <row r="118" customFormat="false" ht="15" hidden="false" customHeight="false" outlineLevel="0" collapsed="false">
      <c r="A118" s="5" t="s">
        <v>157</v>
      </c>
      <c r="B118" s="5" t="s">
        <v>140</v>
      </c>
      <c r="C118" s="5" t="s">
        <v>49</v>
      </c>
      <c r="D118" s="6" t="n">
        <v>9</v>
      </c>
      <c r="E118" s="6" t="n">
        <v>22</v>
      </c>
      <c r="F118" s="6" t="n">
        <v>332</v>
      </c>
      <c r="G118" s="6" t="n">
        <v>332</v>
      </c>
      <c r="H118" s="6" t="n">
        <v>14</v>
      </c>
      <c r="I118" s="7" t="n">
        <v>43833</v>
      </c>
      <c r="J118" s="6" t="n">
        <v>2</v>
      </c>
      <c r="K118" s="5" t="s">
        <v>338</v>
      </c>
    </row>
    <row r="119" customFormat="false" ht="15" hidden="false" customHeight="false" outlineLevel="0" collapsed="false">
      <c r="A119" s="8" t="s">
        <v>158</v>
      </c>
      <c r="B119" s="8" t="s">
        <v>140</v>
      </c>
      <c r="C119" s="8" t="s">
        <v>49</v>
      </c>
      <c r="D119" s="9" t="n">
        <v>10</v>
      </c>
      <c r="E119" s="9" t="n">
        <v>22</v>
      </c>
      <c r="F119" s="9" t="n">
        <v>361</v>
      </c>
      <c r="G119" s="9" t="n">
        <v>350</v>
      </c>
      <c r="H119" s="9" t="n">
        <v>12</v>
      </c>
      <c r="I119" s="10" t="n">
        <v>48523</v>
      </c>
      <c r="J119" s="9" t="n">
        <v>3</v>
      </c>
      <c r="K119" s="8" t="s">
        <v>338</v>
      </c>
    </row>
    <row r="120" customFormat="false" ht="15" hidden="false" customHeight="false" outlineLevel="0" collapsed="false">
      <c r="A120" s="5" t="s">
        <v>159</v>
      </c>
      <c r="B120" s="5" t="s">
        <v>140</v>
      </c>
      <c r="C120" s="5" t="s">
        <v>49</v>
      </c>
      <c r="D120" s="6" t="n">
        <v>9</v>
      </c>
      <c r="E120" s="6" t="n">
        <v>22</v>
      </c>
      <c r="F120" s="6" t="n">
        <v>342</v>
      </c>
      <c r="G120" s="6" t="n">
        <v>300</v>
      </c>
      <c r="H120" s="6" t="n">
        <v>11</v>
      </c>
      <c r="I120" s="7" t="n">
        <v>48185</v>
      </c>
      <c r="J120" s="6" t="n">
        <v>2</v>
      </c>
      <c r="K120" s="5" t="s">
        <v>338</v>
      </c>
    </row>
    <row r="121" customFormat="false" ht="15" hidden="false" customHeight="false" outlineLevel="0" collapsed="false">
      <c r="A121" s="8" t="s">
        <v>160</v>
      </c>
      <c r="B121" s="8" t="s">
        <v>140</v>
      </c>
      <c r="C121" s="8" t="s">
        <v>49</v>
      </c>
      <c r="D121" s="9" t="n">
        <v>9</v>
      </c>
      <c r="E121" s="9" t="n">
        <v>22</v>
      </c>
      <c r="F121" s="9" t="n">
        <v>343</v>
      </c>
      <c r="G121" s="9" t="n">
        <v>332</v>
      </c>
      <c r="H121" s="9" t="n">
        <v>15</v>
      </c>
      <c r="I121" s="10" t="n">
        <v>47661</v>
      </c>
      <c r="J121" s="9" t="n">
        <v>2</v>
      </c>
      <c r="K121" s="8" t="s">
        <v>338</v>
      </c>
    </row>
    <row r="122" customFormat="false" ht="15" hidden="false" customHeight="false" outlineLevel="0" collapsed="false">
      <c r="A122" s="5" t="s">
        <v>161</v>
      </c>
      <c r="B122" s="5" t="s">
        <v>162</v>
      </c>
      <c r="C122" s="5" t="s">
        <v>30</v>
      </c>
      <c r="D122" s="6" t="n">
        <v>18</v>
      </c>
      <c r="E122" s="6" t="n">
        <v>22</v>
      </c>
      <c r="F122" s="6" t="n">
        <v>292</v>
      </c>
      <c r="G122" s="6" t="n">
        <v>294</v>
      </c>
      <c r="H122" s="6" t="n">
        <v>20</v>
      </c>
      <c r="I122" s="7" t="n">
        <v>64076</v>
      </c>
      <c r="J122" s="6" t="n">
        <v>8</v>
      </c>
      <c r="K122" s="5" t="s">
        <v>338</v>
      </c>
    </row>
    <row r="123" customFormat="false" ht="15" hidden="false" customHeight="false" outlineLevel="0" collapsed="false">
      <c r="A123" s="8" t="s">
        <v>163</v>
      </c>
      <c r="B123" s="8" t="s">
        <v>162</v>
      </c>
      <c r="C123" s="8" t="s">
        <v>30</v>
      </c>
      <c r="D123" s="9" t="n">
        <v>15</v>
      </c>
      <c r="E123" s="9" t="n">
        <v>22</v>
      </c>
      <c r="F123" s="9" t="n">
        <v>269</v>
      </c>
      <c r="G123" s="9" t="n">
        <v>278</v>
      </c>
      <c r="H123" s="9" t="n">
        <v>18</v>
      </c>
      <c r="I123" s="10" t="n">
        <v>62646</v>
      </c>
      <c r="J123" s="9" t="n">
        <v>9</v>
      </c>
      <c r="K123" s="8" t="s">
        <v>338</v>
      </c>
    </row>
    <row r="124" customFormat="false" ht="15" hidden="false" customHeight="false" outlineLevel="0" collapsed="false">
      <c r="A124" s="5" t="s">
        <v>164</v>
      </c>
      <c r="B124" s="5" t="s">
        <v>162</v>
      </c>
      <c r="C124" s="5" t="s">
        <v>30</v>
      </c>
      <c r="D124" s="6" t="n">
        <v>17</v>
      </c>
      <c r="E124" s="6" t="n">
        <v>22</v>
      </c>
      <c r="F124" s="6" t="n">
        <v>283</v>
      </c>
      <c r="G124" s="6" t="n">
        <v>275</v>
      </c>
      <c r="H124" s="6" t="n">
        <v>22</v>
      </c>
      <c r="I124" s="7" t="n">
        <v>67434</v>
      </c>
      <c r="J124" s="6" t="n">
        <v>9</v>
      </c>
      <c r="K124" s="5" t="s">
        <v>338</v>
      </c>
    </row>
    <row r="125" customFormat="false" ht="15" hidden="false" customHeight="false" outlineLevel="0" collapsed="false">
      <c r="A125" s="8" t="s">
        <v>165</v>
      </c>
      <c r="B125" s="8" t="s">
        <v>162</v>
      </c>
      <c r="C125" s="8" t="s">
        <v>30</v>
      </c>
      <c r="D125" s="9" t="n">
        <v>17</v>
      </c>
      <c r="E125" s="9" t="n">
        <v>22</v>
      </c>
      <c r="F125" s="9" t="n">
        <v>271</v>
      </c>
      <c r="G125" s="9" t="n">
        <v>277</v>
      </c>
      <c r="H125" s="9" t="n">
        <v>24</v>
      </c>
      <c r="I125" s="10" t="n">
        <v>66481</v>
      </c>
      <c r="J125" s="9" t="n">
        <v>10</v>
      </c>
      <c r="K125" s="8" t="s">
        <v>338</v>
      </c>
    </row>
    <row r="126" customFormat="false" ht="15" hidden="false" customHeight="false" outlineLevel="0" collapsed="false">
      <c r="A126" s="5" t="s">
        <v>166</v>
      </c>
      <c r="B126" s="5" t="s">
        <v>162</v>
      </c>
      <c r="C126" s="5" t="s">
        <v>30</v>
      </c>
      <c r="D126" s="6" t="n">
        <v>17</v>
      </c>
      <c r="E126" s="6" t="n">
        <v>22</v>
      </c>
      <c r="F126" s="6" t="n">
        <v>270</v>
      </c>
      <c r="G126" s="6" t="n">
        <v>260</v>
      </c>
      <c r="H126" s="6" t="n">
        <v>18</v>
      </c>
      <c r="I126" s="7" t="n">
        <v>63334</v>
      </c>
      <c r="J126" s="6" t="n">
        <v>8</v>
      </c>
      <c r="K126" s="5" t="s">
        <v>338</v>
      </c>
    </row>
    <row r="127" customFormat="false" ht="15" hidden="false" customHeight="false" outlineLevel="0" collapsed="false">
      <c r="A127" s="8" t="s">
        <v>167</v>
      </c>
      <c r="B127" s="8" t="s">
        <v>162</v>
      </c>
      <c r="C127" s="8" t="s">
        <v>37</v>
      </c>
      <c r="D127" s="9" t="n">
        <v>19</v>
      </c>
      <c r="E127" s="9" t="n">
        <v>22</v>
      </c>
      <c r="F127" s="9" t="n">
        <v>501</v>
      </c>
      <c r="G127" s="9" t="n">
        <v>480</v>
      </c>
      <c r="H127" s="9" t="n">
        <v>27</v>
      </c>
      <c r="I127" s="10" t="n">
        <v>79575</v>
      </c>
      <c r="J127" s="9" t="n">
        <v>7</v>
      </c>
      <c r="K127" s="8" t="s">
        <v>338</v>
      </c>
    </row>
    <row r="128" customFormat="false" ht="15" hidden="false" customHeight="false" outlineLevel="0" collapsed="false">
      <c r="A128" s="5" t="s">
        <v>168</v>
      </c>
      <c r="B128" s="5" t="s">
        <v>162</v>
      </c>
      <c r="C128" s="5" t="s">
        <v>37</v>
      </c>
      <c r="D128" s="6" t="n">
        <v>21</v>
      </c>
      <c r="E128" s="6" t="n">
        <v>22</v>
      </c>
      <c r="F128" s="6" t="n">
        <v>493</v>
      </c>
      <c r="G128" s="6" t="n">
        <v>501</v>
      </c>
      <c r="H128" s="6" t="n">
        <v>24</v>
      </c>
      <c r="I128" s="7" t="n">
        <v>82266</v>
      </c>
      <c r="J128" s="6" t="n">
        <v>5</v>
      </c>
      <c r="K128" s="5" t="s">
        <v>338</v>
      </c>
    </row>
    <row r="129" customFormat="false" ht="15" hidden="false" customHeight="false" outlineLevel="0" collapsed="false">
      <c r="A129" s="8" t="s">
        <v>169</v>
      </c>
      <c r="B129" s="8" t="s">
        <v>162</v>
      </c>
      <c r="C129" s="8" t="s">
        <v>37</v>
      </c>
      <c r="D129" s="9" t="n">
        <v>20</v>
      </c>
      <c r="E129" s="9" t="n">
        <v>22</v>
      </c>
      <c r="F129" s="9" t="n">
        <v>518</v>
      </c>
      <c r="G129" s="9" t="n">
        <v>489</v>
      </c>
      <c r="H129" s="9" t="n">
        <v>21</v>
      </c>
      <c r="I129" s="10" t="n">
        <v>79441</v>
      </c>
      <c r="J129" s="9" t="n">
        <v>8</v>
      </c>
      <c r="K129" s="8" t="s">
        <v>338</v>
      </c>
    </row>
    <row r="130" customFormat="false" ht="15" hidden="false" customHeight="false" outlineLevel="0" collapsed="false">
      <c r="A130" s="5" t="s">
        <v>170</v>
      </c>
      <c r="B130" s="5" t="s">
        <v>162</v>
      </c>
      <c r="C130" s="5" t="s">
        <v>37</v>
      </c>
      <c r="D130" s="6" t="n">
        <v>18</v>
      </c>
      <c r="E130" s="6" t="n">
        <v>22</v>
      </c>
      <c r="F130" s="6" t="n">
        <v>504</v>
      </c>
      <c r="G130" s="6" t="n">
        <v>477</v>
      </c>
      <c r="H130" s="6" t="n">
        <v>22</v>
      </c>
      <c r="I130" s="7" t="n">
        <v>80317</v>
      </c>
      <c r="J130" s="6" t="n">
        <v>8</v>
      </c>
      <c r="K130" s="5" t="s">
        <v>338</v>
      </c>
    </row>
    <row r="131" customFormat="false" ht="15" hidden="false" customHeight="false" outlineLevel="0" collapsed="false">
      <c r="A131" s="8" t="s">
        <v>171</v>
      </c>
      <c r="B131" s="8" t="s">
        <v>162</v>
      </c>
      <c r="C131" s="8" t="s">
        <v>37</v>
      </c>
      <c r="D131" s="9" t="n">
        <v>22</v>
      </c>
      <c r="E131" s="9" t="n">
        <v>22</v>
      </c>
      <c r="F131" s="9" t="n">
        <v>515</v>
      </c>
      <c r="G131" s="9" t="n">
        <v>478</v>
      </c>
      <c r="H131" s="9" t="n">
        <v>24</v>
      </c>
      <c r="I131" s="10" t="n">
        <v>76636</v>
      </c>
      <c r="J131" s="9" t="n">
        <v>8</v>
      </c>
      <c r="K131" s="8" t="s">
        <v>338</v>
      </c>
    </row>
    <row r="132" customFormat="false" ht="15" hidden="false" customHeight="false" outlineLevel="0" collapsed="false">
      <c r="A132" s="5" t="s">
        <v>172</v>
      </c>
      <c r="B132" s="5" t="s">
        <v>162</v>
      </c>
      <c r="C132" s="5" t="s">
        <v>43</v>
      </c>
      <c r="D132" s="6" t="n">
        <v>13</v>
      </c>
      <c r="E132" s="6" t="n">
        <v>22</v>
      </c>
      <c r="F132" s="6" t="n">
        <v>197</v>
      </c>
      <c r="G132" s="6" t="n">
        <v>177</v>
      </c>
      <c r="H132" s="6" t="n">
        <v>40</v>
      </c>
      <c r="I132" s="7" t="n">
        <v>73290</v>
      </c>
      <c r="J132" s="6" t="n">
        <v>13</v>
      </c>
      <c r="K132" s="5" t="s">
        <v>338</v>
      </c>
    </row>
    <row r="133" customFormat="false" ht="15" hidden="false" customHeight="false" outlineLevel="0" collapsed="false">
      <c r="A133" s="8" t="s">
        <v>173</v>
      </c>
      <c r="B133" s="8" t="s">
        <v>162</v>
      </c>
      <c r="C133" s="8" t="s">
        <v>43</v>
      </c>
      <c r="D133" s="9" t="n">
        <v>15</v>
      </c>
      <c r="E133" s="9" t="n">
        <v>22</v>
      </c>
      <c r="F133" s="9" t="n">
        <v>214</v>
      </c>
      <c r="G133" s="9" t="n">
        <v>171</v>
      </c>
      <c r="H133" s="9" t="n">
        <v>32</v>
      </c>
      <c r="I133" s="10" t="n">
        <v>75572</v>
      </c>
      <c r="J133" s="9" t="n">
        <v>13</v>
      </c>
      <c r="K133" s="8" t="s">
        <v>338</v>
      </c>
    </row>
    <row r="134" customFormat="false" ht="15" hidden="false" customHeight="false" outlineLevel="0" collapsed="false">
      <c r="A134" s="5" t="s">
        <v>174</v>
      </c>
      <c r="B134" s="5" t="s">
        <v>162</v>
      </c>
      <c r="C134" s="5" t="s">
        <v>43</v>
      </c>
      <c r="D134" s="6" t="n">
        <v>16</v>
      </c>
      <c r="E134" s="6" t="n">
        <v>22</v>
      </c>
      <c r="F134" s="6" t="n">
        <v>212</v>
      </c>
      <c r="G134" s="6" t="n">
        <v>174</v>
      </c>
      <c r="H134" s="6" t="n">
        <v>41</v>
      </c>
      <c r="I134" s="7" t="n">
        <v>73630</v>
      </c>
      <c r="J134" s="6" t="n">
        <v>20</v>
      </c>
      <c r="K134" s="5" t="s">
        <v>338</v>
      </c>
    </row>
    <row r="135" customFormat="false" ht="15" hidden="false" customHeight="false" outlineLevel="0" collapsed="false">
      <c r="A135" s="8" t="s">
        <v>175</v>
      </c>
      <c r="B135" s="8" t="s">
        <v>162</v>
      </c>
      <c r="C135" s="8" t="s">
        <v>43</v>
      </c>
      <c r="D135" s="9" t="n">
        <v>12</v>
      </c>
      <c r="E135" s="9" t="n">
        <v>22</v>
      </c>
      <c r="F135" s="9" t="n">
        <v>210</v>
      </c>
      <c r="G135" s="9" t="n">
        <v>171</v>
      </c>
      <c r="H135" s="9" t="n">
        <v>49</v>
      </c>
      <c r="I135" s="10" t="n">
        <v>74652</v>
      </c>
      <c r="J135" s="9" t="n">
        <v>15</v>
      </c>
      <c r="K135" s="8" t="s">
        <v>338</v>
      </c>
    </row>
    <row r="136" customFormat="false" ht="15" hidden="false" customHeight="false" outlineLevel="0" collapsed="false">
      <c r="A136" s="5" t="s">
        <v>176</v>
      </c>
      <c r="B136" s="5" t="s">
        <v>162</v>
      </c>
      <c r="C136" s="5" t="s">
        <v>43</v>
      </c>
      <c r="D136" s="6" t="n">
        <v>12</v>
      </c>
      <c r="E136" s="6" t="n">
        <v>22</v>
      </c>
      <c r="F136" s="6" t="n">
        <v>222</v>
      </c>
      <c r="G136" s="6" t="n">
        <v>188</v>
      </c>
      <c r="H136" s="6" t="n">
        <v>38</v>
      </c>
      <c r="I136" s="7" t="n">
        <v>74944</v>
      </c>
      <c r="J136" s="6" t="n">
        <v>20</v>
      </c>
      <c r="K136" s="5" t="s">
        <v>338</v>
      </c>
    </row>
    <row r="137" customFormat="false" ht="15" hidden="false" customHeight="false" outlineLevel="0" collapsed="false">
      <c r="A137" s="8" t="s">
        <v>177</v>
      </c>
      <c r="B137" s="8" t="s">
        <v>162</v>
      </c>
      <c r="C137" s="8" t="s">
        <v>49</v>
      </c>
      <c r="D137" s="9" t="n">
        <v>12</v>
      </c>
      <c r="E137" s="9" t="n">
        <v>22</v>
      </c>
      <c r="F137" s="9" t="n">
        <v>357</v>
      </c>
      <c r="G137" s="9" t="n">
        <v>382</v>
      </c>
      <c r="H137" s="9" t="n">
        <v>12</v>
      </c>
      <c r="I137" s="10" t="n">
        <v>45477</v>
      </c>
      <c r="J137" s="9" t="n">
        <v>3</v>
      </c>
      <c r="K137" s="8" t="s">
        <v>338</v>
      </c>
    </row>
    <row r="138" customFormat="false" ht="15" hidden="false" customHeight="false" outlineLevel="0" collapsed="false">
      <c r="A138" s="5" t="s">
        <v>178</v>
      </c>
      <c r="B138" s="5" t="s">
        <v>162</v>
      </c>
      <c r="C138" s="5" t="s">
        <v>49</v>
      </c>
      <c r="D138" s="6" t="n">
        <v>9</v>
      </c>
      <c r="E138" s="6" t="n">
        <v>22</v>
      </c>
      <c r="F138" s="6" t="n">
        <v>330</v>
      </c>
      <c r="G138" s="6" t="n">
        <v>299</v>
      </c>
      <c r="H138" s="6" t="n">
        <v>12</v>
      </c>
      <c r="I138" s="7" t="n">
        <v>50985</v>
      </c>
      <c r="J138" s="6" t="n">
        <v>2</v>
      </c>
      <c r="K138" s="5" t="s">
        <v>338</v>
      </c>
    </row>
    <row r="139" customFormat="false" ht="15" hidden="false" customHeight="false" outlineLevel="0" collapsed="false">
      <c r="A139" s="8" t="s">
        <v>179</v>
      </c>
      <c r="B139" s="8" t="s">
        <v>162</v>
      </c>
      <c r="C139" s="8" t="s">
        <v>49</v>
      </c>
      <c r="D139" s="9" t="n">
        <v>11</v>
      </c>
      <c r="E139" s="9" t="n">
        <v>22</v>
      </c>
      <c r="F139" s="9" t="n">
        <v>329</v>
      </c>
      <c r="G139" s="9" t="n">
        <v>311</v>
      </c>
      <c r="H139" s="9" t="n">
        <v>14</v>
      </c>
      <c r="I139" s="10" t="n">
        <v>46727</v>
      </c>
      <c r="J139" s="9" t="n">
        <v>2</v>
      </c>
      <c r="K139" s="8" t="s">
        <v>338</v>
      </c>
    </row>
    <row r="140" customFormat="false" ht="15" hidden="false" customHeight="false" outlineLevel="0" collapsed="false">
      <c r="A140" s="5" t="s">
        <v>180</v>
      </c>
      <c r="B140" s="5" t="s">
        <v>162</v>
      </c>
      <c r="C140" s="5" t="s">
        <v>49</v>
      </c>
      <c r="D140" s="6" t="n">
        <v>10</v>
      </c>
      <c r="E140" s="6" t="n">
        <v>22</v>
      </c>
      <c r="F140" s="6" t="n">
        <v>362</v>
      </c>
      <c r="G140" s="6" t="n">
        <v>345</v>
      </c>
      <c r="H140" s="6" t="n">
        <v>12</v>
      </c>
      <c r="I140" s="7" t="n">
        <v>46941</v>
      </c>
      <c r="J140" s="6" t="n">
        <v>3</v>
      </c>
      <c r="K140" s="5" t="s">
        <v>338</v>
      </c>
    </row>
    <row r="141" customFormat="false" ht="15" hidden="false" customHeight="false" outlineLevel="0" collapsed="false">
      <c r="A141" s="8" t="s">
        <v>181</v>
      </c>
      <c r="B141" s="8" t="s">
        <v>162</v>
      </c>
      <c r="C141" s="8" t="s">
        <v>49</v>
      </c>
      <c r="D141" s="9" t="n">
        <v>12</v>
      </c>
      <c r="E141" s="9" t="n">
        <v>22</v>
      </c>
      <c r="F141" s="9" t="n">
        <v>336</v>
      </c>
      <c r="G141" s="9" t="n">
        <v>335</v>
      </c>
      <c r="H141" s="9" t="n">
        <v>10</v>
      </c>
      <c r="I141" s="10" t="n">
        <v>45446</v>
      </c>
      <c r="J141" s="9" t="n">
        <v>2</v>
      </c>
      <c r="K141" s="8" t="s">
        <v>338</v>
      </c>
    </row>
    <row r="142" customFormat="false" ht="15" hidden="false" customHeight="false" outlineLevel="0" collapsed="false">
      <c r="A142" s="5" t="s">
        <v>182</v>
      </c>
      <c r="B142" s="5" t="s">
        <v>183</v>
      </c>
      <c r="C142" s="5" t="s">
        <v>30</v>
      </c>
      <c r="D142" s="6" t="n">
        <v>18</v>
      </c>
      <c r="E142" s="6" t="n">
        <v>20</v>
      </c>
      <c r="F142" s="6" t="n">
        <v>259</v>
      </c>
      <c r="G142" s="6" t="n">
        <v>252</v>
      </c>
      <c r="H142" s="6" t="n">
        <v>22</v>
      </c>
      <c r="I142" s="7" t="n">
        <v>65713</v>
      </c>
      <c r="J142" s="6" t="n">
        <v>10</v>
      </c>
      <c r="K142" s="5" t="s">
        <v>338</v>
      </c>
    </row>
    <row r="143" customFormat="false" ht="15" hidden="false" customHeight="false" outlineLevel="0" collapsed="false">
      <c r="A143" s="8" t="s">
        <v>184</v>
      </c>
      <c r="B143" s="8" t="s">
        <v>183</v>
      </c>
      <c r="C143" s="8" t="s">
        <v>30</v>
      </c>
      <c r="D143" s="9" t="n">
        <v>16</v>
      </c>
      <c r="E143" s="9" t="n">
        <v>20</v>
      </c>
      <c r="F143" s="9" t="n">
        <v>272</v>
      </c>
      <c r="G143" s="9" t="n">
        <v>281</v>
      </c>
      <c r="H143" s="9" t="n">
        <v>20</v>
      </c>
      <c r="I143" s="10" t="n">
        <v>61911</v>
      </c>
      <c r="J143" s="9" t="n">
        <v>8</v>
      </c>
      <c r="K143" s="8" t="s">
        <v>338</v>
      </c>
    </row>
    <row r="144" customFormat="false" ht="15" hidden="false" customHeight="false" outlineLevel="0" collapsed="false">
      <c r="A144" s="5" t="s">
        <v>185</v>
      </c>
      <c r="B144" s="5" t="s">
        <v>183</v>
      </c>
      <c r="C144" s="5" t="s">
        <v>30</v>
      </c>
      <c r="D144" s="6" t="n">
        <v>15</v>
      </c>
      <c r="E144" s="6" t="n">
        <v>20</v>
      </c>
      <c r="F144" s="6" t="n">
        <v>263</v>
      </c>
      <c r="G144" s="6" t="n">
        <v>269</v>
      </c>
      <c r="H144" s="6" t="n">
        <v>25</v>
      </c>
      <c r="I144" s="7" t="n">
        <v>65314</v>
      </c>
      <c r="J144" s="6" t="n">
        <v>7</v>
      </c>
      <c r="K144" s="5" t="s">
        <v>338</v>
      </c>
    </row>
    <row r="145" customFormat="false" ht="15" hidden="false" customHeight="false" outlineLevel="0" collapsed="false">
      <c r="A145" s="8" t="s">
        <v>186</v>
      </c>
      <c r="B145" s="8" t="s">
        <v>183</v>
      </c>
      <c r="C145" s="8" t="s">
        <v>30</v>
      </c>
      <c r="D145" s="9" t="n">
        <v>16</v>
      </c>
      <c r="E145" s="9" t="n">
        <v>20</v>
      </c>
      <c r="F145" s="9" t="n">
        <v>285</v>
      </c>
      <c r="G145" s="9" t="n">
        <v>286</v>
      </c>
      <c r="H145" s="9" t="n">
        <v>26</v>
      </c>
      <c r="I145" s="10" t="n">
        <v>63485</v>
      </c>
      <c r="J145" s="9" t="n">
        <v>9</v>
      </c>
      <c r="K145" s="8" t="s">
        <v>338</v>
      </c>
    </row>
    <row r="146" customFormat="false" ht="15" hidden="false" customHeight="false" outlineLevel="0" collapsed="false">
      <c r="A146" s="5" t="s">
        <v>187</v>
      </c>
      <c r="B146" s="5" t="s">
        <v>183</v>
      </c>
      <c r="C146" s="5" t="s">
        <v>30</v>
      </c>
      <c r="D146" s="6" t="n">
        <v>15</v>
      </c>
      <c r="E146" s="6" t="n">
        <v>20</v>
      </c>
      <c r="F146" s="6" t="n">
        <v>258</v>
      </c>
      <c r="G146" s="6" t="n">
        <v>246</v>
      </c>
      <c r="H146" s="6" t="n">
        <v>23</v>
      </c>
      <c r="I146" s="7" t="n">
        <v>63654</v>
      </c>
      <c r="J146" s="6" t="n">
        <v>7</v>
      </c>
      <c r="K146" s="5" t="s">
        <v>338</v>
      </c>
    </row>
    <row r="147" customFormat="false" ht="15" hidden="false" customHeight="false" outlineLevel="0" collapsed="false">
      <c r="A147" s="8" t="s">
        <v>188</v>
      </c>
      <c r="B147" s="8" t="s">
        <v>183</v>
      </c>
      <c r="C147" s="8" t="s">
        <v>37</v>
      </c>
      <c r="D147" s="9" t="n">
        <v>23</v>
      </c>
      <c r="E147" s="9" t="n">
        <v>20</v>
      </c>
      <c r="F147" s="9" t="n">
        <v>493</v>
      </c>
      <c r="G147" s="9" t="n">
        <v>443</v>
      </c>
      <c r="H147" s="9" t="n">
        <v>27</v>
      </c>
      <c r="I147" s="10" t="n">
        <v>80738</v>
      </c>
      <c r="J147" s="9" t="n">
        <v>7</v>
      </c>
      <c r="K147" s="8" t="s">
        <v>338</v>
      </c>
    </row>
    <row r="148" customFormat="false" ht="15" hidden="false" customHeight="false" outlineLevel="0" collapsed="false">
      <c r="A148" s="5" t="s">
        <v>189</v>
      </c>
      <c r="B148" s="5" t="s">
        <v>183</v>
      </c>
      <c r="C148" s="5" t="s">
        <v>37</v>
      </c>
      <c r="D148" s="6" t="n">
        <v>18</v>
      </c>
      <c r="E148" s="6" t="n">
        <v>20</v>
      </c>
      <c r="F148" s="6" t="n">
        <v>494</v>
      </c>
      <c r="G148" s="6" t="n">
        <v>484</v>
      </c>
      <c r="H148" s="6" t="n">
        <v>24</v>
      </c>
      <c r="I148" s="7" t="n">
        <v>82174</v>
      </c>
      <c r="J148" s="6" t="n">
        <v>5</v>
      </c>
      <c r="K148" s="5" t="s">
        <v>338</v>
      </c>
    </row>
    <row r="149" customFormat="false" ht="15" hidden="false" customHeight="false" outlineLevel="0" collapsed="false">
      <c r="A149" s="8" t="s">
        <v>190</v>
      </c>
      <c r="B149" s="8" t="s">
        <v>183</v>
      </c>
      <c r="C149" s="8" t="s">
        <v>37</v>
      </c>
      <c r="D149" s="9" t="n">
        <v>19</v>
      </c>
      <c r="E149" s="9" t="n">
        <v>20</v>
      </c>
      <c r="F149" s="9" t="n">
        <v>501</v>
      </c>
      <c r="G149" s="9" t="n">
        <v>492</v>
      </c>
      <c r="H149" s="9" t="n">
        <v>26</v>
      </c>
      <c r="I149" s="10" t="n">
        <v>77868</v>
      </c>
      <c r="J149" s="9" t="n">
        <v>6</v>
      </c>
      <c r="K149" s="8" t="s">
        <v>338</v>
      </c>
    </row>
    <row r="150" customFormat="false" ht="15" hidden="false" customHeight="false" outlineLevel="0" collapsed="false">
      <c r="A150" s="5" t="s">
        <v>191</v>
      </c>
      <c r="B150" s="5" t="s">
        <v>183</v>
      </c>
      <c r="C150" s="5" t="s">
        <v>37</v>
      </c>
      <c r="D150" s="6" t="n">
        <v>23</v>
      </c>
      <c r="E150" s="6" t="n">
        <v>20</v>
      </c>
      <c r="F150" s="6" t="n">
        <v>506</v>
      </c>
      <c r="G150" s="6" t="n">
        <v>464</v>
      </c>
      <c r="H150" s="6" t="n">
        <v>21</v>
      </c>
      <c r="I150" s="7" t="n">
        <v>82328</v>
      </c>
      <c r="J150" s="6" t="n">
        <v>4</v>
      </c>
      <c r="K150" s="5" t="s">
        <v>338</v>
      </c>
    </row>
    <row r="151" customFormat="false" ht="15" hidden="false" customHeight="false" outlineLevel="0" collapsed="false">
      <c r="A151" s="8" t="s">
        <v>192</v>
      </c>
      <c r="B151" s="8" t="s">
        <v>183</v>
      </c>
      <c r="C151" s="8" t="s">
        <v>37</v>
      </c>
      <c r="D151" s="9" t="n">
        <v>19</v>
      </c>
      <c r="E151" s="9" t="n">
        <v>20</v>
      </c>
      <c r="F151" s="9" t="n">
        <v>505</v>
      </c>
      <c r="G151" s="9" t="n">
        <v>489</v>
      </c>
      <c r="H151" s="9" t="n">
        <v>20</v>
      </c>
      <c r="I151" s="10" t="n">
        <v>85426</v>
      </c>
      <c r="J151" s="9" t="n">
        <v>6</v>
      </c>
      <c r="K151" s="8" t="s">
        <v>338</v>
      </c>
    </row>
    <row r="152" customFormat="false" ht="15" hidden="false" customHeight="false" outlineLevel="0" collapsed="false">
      <c r="A152" s="5" t="s">
        <v>193</v>
      </c>
      <c r="B152" s="5" t="s">
        <v>183</v>
      </c>
      <c r="C152" s="5" t="s">
        <v>43</v>
      </c>
      <c r="D152" s="6" t="n">
        <v>13</v>
      </c>
      <c r="E152" s="6" t="n">
        <v>20</v>
      </c>
      <c r="F152" s="6" t="n">
        <v>200</v>
      </c>
      <c r="G152" s="6" t="n">
        <v>172</v>
      </c>
      <c r="H152" s="6" t="n">
        <v>42</v>
      </c>
      <c r="I152" s="7" t="n">
        <v>78418</v>
      </c>
      <c r="J152" s="6" t="n">
        <v>17</v>
      </c>
      <c r="K152" s="5" t="s">
        <v>338</v>
      </c>
    </row>
    <row r="153" customFormat="false" ht="15" hidden="false" customHeight="false" outlineLevel="0" collapsed="false">
      <c r="A153" s="8" t="s">
        <v>194</v>
      </c>
      <c r="B153" s="8" t="s">
        <v>183</v>
      </c>
      <c r="C153" s="8" t="s">
        <v>43</v>
      </c>
      <c r="D153" s="9" t="n">
        <v>13</v>
      </c>
      <c r="E153" s="9" t="n">
        <v>20</v>
      </c>
      <c r="F153" s="9" t="n">
        <v>205</v>
      </c>
      <c r="G153" s="9" t="n">
        <v>159</v>
      </c>
      <c r="H153" s="9" t="n">
        <v>37</v>
      </c>
      <c r="I153" s="10" t="n">
        <v>73621</v>
      </c>
      <c r="J153" s="9" t="n">
        <v>10</v>
      </c>
      <c r="K153" s="8" t="s">
        <v>338</v>
      </c>
    </row>
    <row r="154" customFormat="false" ht="15" hidden="false" customHeight="false" outlineLevel="0" collapsed="false">
      <c r="A154" s="5" t="s">
        <v>195</v>
      </c>
      <c r="B154" s="5" t="s">
        <v>183</v>
      </c>
      <c r="C154" s="5" t="s">
        <v>43</v>
      </c>
      <c r="D154" s="6" t="n">
        <v>15</v>
      </c>
      <c r="E154" s="6" t="n">
        <v>20</v>
      </c>
      <c r="F154" s="6" t="n">
        <v>189</v>
      </c>
      <c r="G154" s="6" t="n">
        <v>162</v>
      </c>
      <c r="H154" s="6" t="n">
        <v>33</v>
      </c>
      <c r="I154" s="7" t="n">
        <v>74732</v>
      </c>
      <c r="J154" s="6" t="n">
        <v>13</v>
      </c>
      <c r="K154" s="5" t="s">
        <v>338</v>
      </c>
    </row>
    <row r="155" customFormat="false" ht="15" hidden="false" customHeight="false" outlineLevel="0" collapsed="false">
      <c r="A155" s="8" t="s">
        <v>196</v>
      </c>
      <c r="B155" s="8" t="s">
        <v>183</v>
      </c>
      <c r="C155" s="8" t="s">
        <v>43</v>
      </c>
      <c r="D155" s="9" t="n">
        <v>14</v>
      </c>
      <c r="E155" s="9" t="n">
        <v>20</v>
      </c>
      <c r="F155" s="9" t="n">
        <v>223</v>
      </c>
      <c r="G155" s="9" t="n">
        <v>188</v>
      </c>
      <c r="H155" s="9" t="n">
        <v>53</v>
      </c>
      <c r="I155" s="10" t="n">
        <v>77511</v>
      </c>
      <c r="J155" s="9" t="n">
        <v>13</v>
      </c>
      <c r="K155" s="8" t="s">
        <v>338</v>
      </c>
    </row>
    <row r="156" customFormat="false" ht="15" hidden="false" customHeight="false" outlineLevel="0" collapsed="false">
      <c r="A156" s="5" t="s">
        <v>197</v>
      </c>
      <c r="B156" s="5" t="s">
        <v>183</v>
      </c>
      <c r="C156" s="5" t="s">
        <v>43</v>
      </c>
      <c r="D156" s="6" t="n">
        <v>12</v>
      </c>
      <c r="E156" s="6" t="n">
        <v>20</v>
      </c>
      <c r="F156" s="6" t="n">
        <v>208</v>
      </c>
      <c r="G156" s="6" t="n">
        <v>179</v>
      </c>
      <c r="H156" s="6" t="n">
        <v>48</v>
      </c>
      <c r="I156" s="7" t="n">
        <v>75739</v>
      </c>
      <c r="J156" s="6" t="n">
        <v>20</v>
      </c>
      <c r="K156" s="5" t="s">
        <v>338</v>
      </c>
    </row>
    <row r="157" customFormat="false" ht="15" hidden="false" customHeight="false" outlineLevel="0" collapsed="false">
      <c r="A157" s="8" t="s">
        <v>198</v>
      </c>
      <c r="B157" s="8" t="s">
        <v>183</v>
      </c>
      <c r="C157" s="8" t="s">
        <v>49</v>
      </c>
      <c r="D157" s="9" t="n">
        <v>10</v>
      </c>
      <c r="E157" s="9" t="n">
        <v>20</v>
      </c>
      <c r="F157" s="9" t="n">
        <v>358</v>
      </c>
      <c r="G157" s="9" t="n">
        <v>340</v>
      </c>
      <c r="H157" s="9" t="n">
        <v>12</v>
      </c>
      <c r="I157" s="10" t="n">
        <v>51181</v>
      </c>
      <c r="J157" s="9" t="n">
        <v>2</v>
      </c>
      <c r="K157" s="8" t="s">
        <v>338</v>
      </c>
    </row>
    <row r="158" customFormat="false" ht="15" hidden="false" customHeight="false" outlineLevel="0" collapsed="false">
      <c r="A158" s="5" t="s">
        <v>199</v>
      </c>
      <c r="B158" s="5" t="s">
        <v>183</v>
      </c>
      <c r="C158" s="5" t="s">
        <v>49</v>
      </c>
      <c r="D158" s="6" t="n">
        <v>8</v>
      </c>
      <c r="E158" s="6" t="n">
        <v>20</v>
      </c>
      <c r="F158" s="6" t="n">
        <v>349</v>
      </c>
      <c r="G158" s="6" t="n">
        <v>349</v>
      </c>
      <c r="H158" s="6" t="n">
        <v>14</v>
      </c>
      <c r="I158" s="7" t="n">
        <v>50180</v>
      </c>
      <c r="J158" s="6" t="n">
        <v>2</v>
      </c>
      <c r="K158" s="5" t="s">
        <v>338</v>
      </c>
    </row>
    <row r="159" customFormat="false" ht="15" hidden="false" customHeight="false" outlineLevel="0" collapsed="false">
      <c r="A159" s="8" t="s">
        <v>200</v>
      </c>
      <c r="B159" s="8" t="s">
        <v>183</v>
      </c>
      <c r="C159" s="8" t="s">
        <v>49</v>
      </c>
      <c r="D159" s="9" t="n">
        <v>9</v>
      </c>
      <c r="E159" s="9" t="n">
        <v>20</v>
      </c>
      <c r="F159" s="9" t="n">
        <v>354</v>
      </c>
      <c r="G159" s="9" t="n">
        <v>357</v>
      </c>
      <c r="H159" s="9" t="n">
        <v>17</v>
      </c>
      <c r="I159" s="10" t="n">
        <v>47026</v>
      </c>
      <c r="J159" s="9" t="n">
        <v>3</v>
      </c>
      <c r="K159" s="8" t="s">
        <v>338</v>
      </c>
    </row>
    <row r="160" customFormat="false" ht="15" hidden="false" customHeight="false" outlineLevel="0" collapsed="false">
      <c r="A160" s="5" t="s">
        <v>201</v>
      </c>
      <c r="B160" s="5" t="s">
        <v>183</v>
      </c>
      <c r="C160" s="5" t="s">
        <v>49</v>
      </c>
      <c r="D160" s="6" t="n">
        <v>8</v>
      </c>
      <c r="E160" s="6" t="n">
        <v>20</v>
      </c>
      <c r="F160" s="6" t="n">
        <v>336</v>
      </c>
      <c r="G160" s="6" t="n">
        <v>340</v>
      </c>
      <c r="H160" s="6" t="n">
        <v>15</v>
      </c>
      <c r="I160" s="7" t="n">
        <v>48051</v>
      </c>
      <c r="J160" s="6" t="n">
        <v>3</v>
      </c>
      <c r="K160" s="5" t="s">
        <v>338</v>
      </c>
    </row>
    <row r="161" customFormat="false" ht="15" hidden="false" customHeight="false" outlineLevel="0" collapsed="false">
      <c r="A161" s="8" t="s">
        <v>202</v>
      </c>
      <c r="B161" s="8" t="s">
        <v>183</v>
      </c>
      <c r="C161" s="8" t="s">
        <v>49</v>
      </c>
      <c r="D161" s="9" t="n">
        <v>12</v>
      </c>
      <c r="E161" s="9" t="n">
        <v>20</v>
      </c>
      <c r="F161" s="9" t="n">
        <v>340</v>
      </c>
      <c r="G161" s="9" t="n">
        <v>323</v>
      </c>
      <c r="H161" s="9" t="n">
        <v>13</v>
      </c>
      <c r="I161" s="10" t="n">
        <v>48789</v>
      </c>
      <c r="J161" s="9" t="n">
        <v>2</v>
      </c>
      <c r="K161" s="8" t="s">
        <v>338</v>
      </c>
    </row>
    <row r="162" customFormat="false" ht="15" hidden="false" customHeight="false" outlineLevel="0" collapsed="false">
      <c r="A162" s="5" t="s">
        <v>203</v>
      </c>
      <c r="B162" s="5" t="s">
        <v>204</v>
      </c>
      <c r="C162" s="5" t="s">
        <v>30</v>
      </c>
      <c r="D162" s="6" t="n">
        <v>15</v>
      </c>
      <c r="E162" s="6" t="n">
        <v>22</v>
      </c>
      <c r="F162" s="6" t="n">
        <v>277</v>
      </c>
      <c r="G162" s="6" t="n">
        <v>277</v>
      </c>
      <c r="H162" s="6" t="n">
        <v>18</v>
      </c>
      <c r="I162" s="7" t="n">
        <v>65220</v>
      </c>
      <c r="J162" s="6" t="n">
        <v>10</v>
      </c>
      <c r="K162" s="5" t="s">
        <v>338</v>
      </c>
    </row>
    <row r="163" customFormat="false" ht="15" hidden="false" customHeight="false" outlineLevel="0" collapsed="false">
      <c r="A163" s="8" t="s">
        <v>205</v>
      </c>
      <c r="B163" s="8" t="s">
        <v>204</v>
      </c>
      <c r="C163" s="8" t="s">
        <v>30</v>
      </c>
      <c r="D163" s="9" t="n">
        <v>14</v>
      </c>
      <c r="E163" s="9" t="n">
        <v>22</v>
      </c>
      <c r="F163" s="9" t="n">
        <v>259</v>
      </c>
      <c r="G163" s="9" t="n">
        <v>262</v>
      </c>
      <c r="H163" s="9" t="n">
        <v>24</v>
      </c>
      <c r="I163" s="10" t="n">
        <v>64803</v>
      </c>
      <c r="J163" s="9" t="n">
        <v>8</v>
      </c>
      <c r="K163" s="8" t="s">
        <v>338</v>
      </c>
    </row>
    <row r="164" customFormat="false" ht="15" hidden="false" customHeight="false" outlineLevel="0" collapsed="false">
      <c r="A164" s="5" t="s">
        <v>206</v>
      </c>
      <c r="B164" s="5" t="s">
        <v>204</v>
      </c>
      <c r="C164" s="5" t="s">
        <v>30</v>
      </c>
      <c r="D164" s="6" t="n">
        <v>15</v>
      </c>
      <c r="E164" s="6" t="n">
        <v>22</v>
      </c>
      <c r="F164" s="6" t="n">
        <v>268</v>
      </c>
      <c r="G164" s="6" t="n">
        <v>246</v>
      </c>
      <c r="H164" s="6" t="n">
        <v>20</v>
      </c>
      <c r="I164" s="7" t="n">
        <v>67715</v>
      </c>
      <c r="J164" s="6" t="n">
        <v>8</v>
      </c>
      <c r="K164" s="5" t="s">
        <v>338</v>
      </c>
    </row>
    <row r="165" customFormat="false" ht="15" hidden="false" customHeight="false" outlineLevel="0" collapsed="false">
      <c r="A165" s="8" t="s">
        <v>207</v>
      </c>
      <c r="B165" s="8" t="s">
        <v>204</v>
      </c>
      <c r="C165" s="8" t="s">
        <v>30</v>
      </c>
      <c r="D165" s="9" t="n">
        <v>16</v>
      </c>
      <c r="E165" s="9" t="n">
        <v>22</v>
      </c>
      <c r="F165" s="9" t="n">
        <v>277</v>
      </c>
      <c r="G165" s="9" t="n">
        <v>265</v>
      </c>
      <c r="H165" s="9" t="n">
        <v>19</v>
      </c>
      <c r="I165" s="10" t="n">
        <v>65223</v>
      </c>
      <c r="J165" s="9" t="n">
        <v>9</v>
      </c>
      <c r="K165" s="8" t="s">
        <v>338</v>
      </c>
    </row>
    <row r="166" customFormat="false" ht="15" hidden="false" customHeight="false" outlineLevel="0" collapsed="false">
      <c r="A166" s="5" t="s">
        <v>208</v>
      </c>
      <c r="B166" s="5" t="s">
        <v>204</v>
      </c>
      <c r="C166" s="5" t="s">
        <v>30</v>
      </c>
      <c r="D166" s="6" t="n">
        <v>18</v>
      </c>
      <c r="E166" s="6" t="n">
        <v>22</v>
      </c>
      <c r="F166" s="6" t="n">
        <v>273</v>
      </c>
      <c r="G166" s="6" t="n">
        <v>276</v>
      </c>
      <c r="H166" s="6" t="n">
        <v>26</v>
      </c>
      <c r="I166" s="7" t="n">
        <v>62064</v>
      </c>
      <c r="J166" s="6" t="n">
        <v>10</v>
      </c>
      <c r="K166" s="5" t="s">
        <v>338</v>
      </c>
    </row>
    <row r="167" customFormat="false" ht="15" hidden="false" customHeight="false" outlineLevel="0" collapsed="false">
      <c r="A167" s="8" t="s">
        <v>209</v>
      </c>
      <c r="B167" s="8" t="s">
        <v>204</v>
      </c>
      <c r="C167" s="8" t="s">
        <v>43</v>
      </c>
      <c r="D167" s="9" t="n">
        <v>23</v>
      </c>
      <c r="E167" s="9" t="n">
        <v>22</v>
      </c>
      <c r="F167" s="9" t="n">
        <v>475</v>
      </c>
      <c r="G167" s="9" t="n">
        <v>474</v>
      </c>
      <c r="H167" s="9" t="n">
        <v>27</v>
      </c>
      <c r="I167" s="10" t="n">
        <v>83637</v>
      </c>
      <c r="J167" s="9" t="n">
        <v>9</v>
      </c>
      <c r="K167" s="8" t="s">
        <v>338</v>
      </c>
    </row>
    <row r="168" customFormat="false" ht="15" hidden="false" customHeight="false" outlineLevel="0" collapsed="false">
      <c r="A168" s="5" t="s">
        <v>212</v>
      </c>
      <c r="B168" s="5" t="s">
        <v>204</v>
      </c>
      <c r="C168" s="5" t="s">
        <v>37</v>
      </c>
      <c r="D168" s="6" t="n">
        <v>21</v>
      </c>
      <c r="E168" s="6" t="n">
        <v>22</v>
      </c>
      <c r="F168" s="6" t="n">
        <v>502</v>
      </c>
      <c r="G168" s="6" t="n">
        <v>476</v>
      </c>
      <c r="H168" s="6" t="n">
        <v>24</v>
      </c>
      <c r="I168" s="7" t="n">
        <v>87051</v>
      </c>
      <c r="J168" s="6" t="n">
        <v>7</v>
      </c>
      <c r="K168" s="5" t="s">
        <v>338</v>
      </c>
    </row>
    <row r="169" customFormat="false" ht="15" hidden="false" customHeight="false" outlineLevel="0" collapsed="false">
      <c r="A169" s="8" t="s">
        <v>213</v>
      </c>
      <c r="B169" s="8" t="s">
        <v>204</v>
      </c>
      <c r="C169" s="8" t="s">
        <v>37</v>
      </c>
      <c r="D169" s="9" t="n">
        <v>21</v>
      </c>
      <c r="E169" s="9" t="n">
        <v>22</v>
      </c>
      <c r="F169" s="9" t="n">
        <v>483</v>
      </c>
      <c r="G169" s="9" t="n">
        <v>463</v>
      </c>
      <c r="H169" s="9" t="n">
        <v>23</v>
      </c>
      <c r="I169" s="10" t="n">
        <v>81854</v>
      </c>
      <c r="J169" s="9" t="n">
        <v>7</v>
      </c>
      <c r="K169" s="8" t="s">
        <v>338</v>
      </c>
    </row>
    <row r="170" customFormat="false" ht="15" hidden="false" customHeight="false" outlineLevel="0" collapsed="false">
      <c r="A170" s="5" t="s">
        <v>214</v>
      </c>
      <c r="B170" s="5" t="s">
        <v>204</v>
      </c>
      <c r="C170" s="5" t="s">
        <v>37</v>
      </c>
      <c r="D170" s="6" t="n">
        <v>18</v>
      </c>
      <c r="E170" s="6" t="n">
        <v>22</v>
      </c>
      <c r="F170" s="6" t="n">
        <v>476</v>
      </c>
      <c r="G170" s="6" t="n">
        <v>426</v>
      </c>
      <c r="H170" s="6" t="n">
        <v>25</v>
      </c>
      <c r="I170" s="7" t="n">
        <v>82768</v>
      </c>
      <c r="J170" s="6" t="n">
        <v>7</v>
      </c>
      <c r="K170" s="5" t="s">
        <v>338</v>
      </c>
    </row>
    <row r="171" customFormat="false" ht="15" hidden="false" customHeight="false" outlineLevel="0" collapsed="false">
      <c r="A171" s="8" t="s">
        <v>215</v>
      </c>
      <c r="B171" s="8" t="s">
        <v>204</v>
      </c>
      <c r="C171" s="8" t="s">
        <v>37</v>
      </c>
      <c r="D171" s="9" t="n">
        <v>22</v>
      </c>
      <c r="E171" s="9" t="n">
        <v>22</v>
      </c>
      <c r="F171" s="9" t="n">
        <v>498</v>
      </c>
      <c r="G171" s="9" t="n">
        <v>492</v>
      </c>
      <c r="H171" s="9" t="n">
        <v>20</v>
      </c>
      <c r="I171" s="10" t="n">
        <v>82894</v>
      </c>
      <c r="J171" s="9" t="n">
        <v>5</v>
      </c>
      <c r="K171" s="8" t="s">
        <v>338</v>
      </c>
    </row>
    <row r="172" customFormat="false" ht="15" hidden="false" customHeight="false" outlineLevel="0" collapsed="false">
      <c r="A172" s="5" t="s">
        <v>216</v>
      </c>
      <c r="B172" s="5" t="s">
        <v>204</v>
      </c>
      <c r="C172" s="5" t="s">
        <v>43</v>
      </c>
      <c r="D172" s="6" t="n">
        <v>12</v>
      </c>
      <c r="E172" s="6" t="n">
        <v>22</v>
      </c>
      <c r="F172" s="6" t="n">
        <v>208</v>
      </c>
      <c r="G172" s="6" t="n">
        <v>171</v>
      </c>
      <c r="H172" s="6" t="n">
        <v>41</v>
      </c>
      <c r="I172" s="7" t="n">
        <v>79403</v>
      </c>
      <c r="J172" s="6" t="n">
        <v>19</v>
      </c>
      <c r="K172" s="5" t="s">
        <v>338</v>
      </c>
    </row>
    <row r="173" customFormat="false" ht="15" hidden="false" customHeight="false" outlineLevel="0" collapsed="false">
      <c r="A173" s="8" t="s">
        <v>217</v>
      </c>
      <c r="B173" s="8" t="s">
        <v>204</v>
      </c>
      <c r="C173" s="8" t="s">
        <v>43</v>
      </c>
      <c r="D173" s="9" t="n">
        <v>14</v>
      </c>
      <c r="E173" s="9" t="n">
        <v>22</v>
      </c>
      <c r="F173" s="9" t="n">
        <v>197</v>
      </c>
      <c r="G173" s="9" t="n">
        <v>166</v>
      </c>
      <c r="H173" s="9" t="n">
        <v>44</v>
      </c>
      <c r="I173" s="10" t="n">
        <v>76250</v>
      </c>
      <c r="J173" s="9" t="n">
        <v>12</v>
      </c>
      <c r="K173" s="8" t="s">
        <v>338</v>
      </c>
    </row>
    <row r="174" customFormat="false" ht="15" hidden="false" customHeight="false" outlineLevel="0" collapsed="false">
      <c r="A174" s="5" t="s">
        <v>218</v>
      </c>
      <c r="B174" s="5" t="s">
        <v>204</v>
      </c>
      <c r="C174" s="5" t="s">
        <v>43</v>
      </c>
      <c r="D174" s="6" t="n">
        <v>14</v>
      </c>
      <c r="E174" s="6" t="n">
        <v>22</v>
      </c>
      <c r="F174" s="6" t="n">
        <v>194</v>
      </c>
      <c r="G174" s="6" t="n">
        <v>163</v>
      </c>
      <c r="H174" s="6" t="n">
        <v>30</v>
      </c>
      <c r="I174" s="7" t="n">
        <v>76592</v>
      </c>
      <c r="J174" s="6" t="n">
        <v>18</v>
      </c>
      <c r="K174" s="5" t="s">
        <v>338</v>
      </c>
    </row>
    <row r="175" customFormat="false" ht="15" hidden="false" customHeight="false" outlineLevel="0" collapsed="false">
      <c r="A175" s="8" t="s">
        <v>219</v>
      </c>
      <c r="B175" s="8" t="s">
        <v>204</v>
      </c>
      <c r="C175" s="8" t="s">
        <v>43</v>
      </c>
      <c r="D175" s="9" t="n">
        <v>16</v>
      </c>
      <c r="E175" s="9" t="n">
        <v>22</v>
      </c>
      <c r="F175" s="9" t="n">
        <v>189</v>
      </c>
      <c r="G175" s="9" t="n">
        <v>151</v>
      </c>
      <c r="H175" s="9" t="n">
        <v>35</v>
      </c>
      <c r="I175" s="10" t="n">
        <v>78906</v>
      </c>
      <c r="J175" s="9" t="n">
        <v>14</v>
      </c>
      <c r="K175" s="8" t="s">
        <v>338</v>
      </c>
    </row>
    <row r="176" customFormat="false" ht="15" hidden="false" customHeight="false" outlineLevel="0" collapsed="false">
      <c r="A176" s="5" t="s">
        <v>220</v>
      </c>
      <c r="B176" s="5" t="s">
        <v>204</v>
      </c>
      <c r="C176" s="5" t="s">
        <v>43</v>
      </c>
      <c r="D176" s="6" t="n">
        <v>12</v>
      </c>
      <c r="E176" s="6" t="n">
        <v>22</v>
      </c>
      <c r="F176" s="6" t="n">
        <v>219</v>
      </c>
      <c r="G176" s="6" t="n">
        <v>193</v>
      </c>
      <c r="H176" s="6" t="n">
        <v>38</v>
      </c>
      <c r="I176" s="7" t="n">
        <v>79935</v>
      </c>
      <c r="J176" s="6" t="n">
        <v>20</v>
      </c>
      <c r="K176" s="5" t="s">
        <v>338</v>
      </c>
    </row>
    <row r="177" customFormat="false" ht="15" hidden="false" customHeight="false" outlineLevel="0" collapsed="false">
      <c r="A177" s="8" t="s">
        <v>221</v>
      </c>
      <c r="B177" s="8" t="s">
        <v>204</v>
      </c>
      <c r="C177" s="8" t="s">
        <v>49</v>
      </c>
      <c r="D177" s="9" t="n">
        <v>12</v>
      </c>
      <c r="E177" s="9" t="n">
        <v>22</v>
      </c>
      <c r="F177" s="9" t="n">
        <v>343</v>
      </c>
      <c r="G177" s="9" t="n">
        <v>353</v>
      </c>
      <c r="H177" s="9" t="n">
        <v>11</v>
      </c>
      <c r="I177" s="10" t="n">
        <v>51344</v>
      </c>
      <c r="J177" s="9" t="n">
        <v>3</v>
      </c>
      <c r="K177" s="8" t="s">
        <v>338</v>
      </c>
    </row>
    <row r="178" customFormat="false" ht="15" hidden="false" customHeight="false" outlineLevel="0" collapsed="false">
      <c r="A178" s="5" t="s">
        <v>222</v>
      </c>
      <c r="B178" s="5" t="s">
        <v>204</v>
      </c>
      <c r="C178" s="5" t="s">
        <v>49</v>
      </c>
      <c r="D178" s="6" t="n">
        <v>10</v>
      </c>
      <c r="E178" s="6" t="n">
        <v>22</v>
      </c>
      <c r="F178" s="6" t="n">
        <v>346</v>
      </c>
      <c r="G178" s="6" t="n">
        <v>327</v>
      </c>
      <c r="H178" s="6" t="n">
        <v>15</v>
      </c>
      <c r="I178" s="7" t="n">
        <v>48674</v>
      </c>
      <c r="J178" s="6" t="n">
        <v>1</v>
      </c>
      <c r="K178" s="5" t="s">
        <v>338</v>
      </c>
    </row>
    <row r="179" customFormat="false" ht="15" hidden="false" customHeight="false" outlineLevel="0" collapsed="false">
      <c r="A179" s="8" t="s">
        <v>223</v>
      </c>
      <c r="B179" s="8" t="s">
        <v>204</v>
      </c>
      <c r="C179" s="8" t="s">
        <v>49</v>
      </c>
      <c r="D179" s="9" t="n">
        <v>8</v>
      </c>
      <c r="E179" s="9" t="n">
        <v>22</v>
      </c>
      <c r="F179" s="9" t="n">
        <v>323</v>
      </c>
      <c r="G179" s="9" t="n">
        <v>301</v>
      </c>
      <c r="H179" s="9" t="n">
        <v>11</v>
      </c>
      <c r="I179" s="10" t="n">
        <v>50144</v>
      </c>
      <c r="J179" s="9" t="n">
        <v>1</v>
      </c>
      <c r="K179" s="8" t="s">
        <v>338</v>
      </c>
    </row>
    <row r="180" customFormat="false" ht="15" hidden="false" customHeight="false" outlineLevel="0" collapsed="false">
      <c r="A180" s="5" t="s">
        <v>224</v>
      </c>
      <c r="B180" s="5" t="s">
        <v>204</v>
      </c>
      <c r="C180" s="5" t="s">
        <v>49</v>
      </c>
      <c r="D180" s="6" t="n">
        <v>10</v>
      </c>
      <c r="E180" s="6" t="n">
        <v>22</v>
      </c>
      <c r="F180" s="6" t="n">
        <v>323</v>
      </c>
      <c r="G180" s="6" t="n">
        <v>313</v>
      </c>
      <c r="H180" s="6" t="n">
        <v>15</v>
      </c>
      <c r="I180" s="7" t="n">
        <v>47797</v>
      </c>
      <c r="J180" s="6" t="n">
        <v>1</v>
      </c>
      <c r="K180" s="5" t="s">
        <v>338</v>
      </c>
    </row>
    <row r="181" customFormat="false" ht="15" hidden="false" customHeight="false" outlineLevel="0" collapsed="false">
      <c r="A181" s="8" t="s">
        <v>225</v>
      </c>
      <c r="B181" s="8" t="s">
        <v>204</v>
      </c>
      <c r="C181" s="8" t="s">
        <v>49</v>
      </c>
      <c r="D181" s="9" t="n">
        <v>11</v>
      </c>
      <c r="E181" s="9" t="n">
        <v>22</v>
      </c>
      <c r="F181" s="9" t="n">
        <v>323</v>
      </c>
      <c r="G181" s="9" t="n">
        <v>313</v>
      </c>
      <c r="H181" s="9" t="n">
        <v>15</v>
      </c>
      <c r="I181" s="10" t="n">
        <v>50226</v>
      </c>
      <c r="J181" s="9" t="n">
        <v>2</v>
      </c>
      <c r="K181" s="8" t="s">
        <v>338</v>
      </c>
    </row>
    <row r="182" customFormat="false" ht="15" hidden="false" customHeight="false" outlineLevel="0" collapsed="false">
      <c r="A182" s="5" t="s">
        <v>226</v>
      </c>
      <c r="B182" s="5" t="s">
        <v>227</v>
      </c>
      <c r="C182" s="5" t="s">
        <v>30</v>
      </c>
      <c r="D182" s="6" t="n">
        <v>15</v>
      </c>
      <c r="E182" s="6" t="n">
        <v>20</v>
      </c>
      <c r="F182" s="6" t="n">
        <v>294</v>
      </c>
      <c r="G182" s="6" t="n">
        <v>272</v>
      </c>
      <c r="H182" s="6" t="n">
        <v>22</v>
      </c>
      <c r="I182" s="7" t="n">
        <v>67344</v>
      </c>
      <c r="J182" s="6" t="n">
        <v>11</v>
      </c>
      <c r="K182" s="5" t="s">
        <v>338</v>
      </c>
    </row>
    <row r="183" customFormat="false" ht="15" hidden="false" customHeight="false" outlineLevel="0" collapsed="false">
      <c r="A183" s="8" t="s">
        <v>228</v>
      </c>
      <c r="B183" s="8" t="s">
        <v>227</v>
      </c>
      <c r="C183" s="8" t="s">
        <v>30</v>
      </c>
      <c r="D183" s="9" t="n">
        <v>17</v>
      </c>
      <c r="E183" s="9" t="n">
        <v>20</v>
      </c>
      <c r="F183" s="9" t="n">
        <v>300</v>
      </c>
      <c r="G183" s="9" t="n">
        <v>269</v>
      </c>
      <c r="H183" s="9" t="n">
        <v>20</v>
      </c>
      <c r="I183" s="10" t="n">
        <v>65547</v>
      </c>
      <c r="J183" s="9" t="n">
        <v>7</v>
      </c>
      <c r="K183" s="8" t="s">
        <v>338</v>
      </c>
    </row>
    <row r="184" customFormat="false" ht="15" hidden="false" customHeight="false" outlineLevel="0" collapsed="false">
      <c r="A184" s="5" t="s">
        <v>229</v>
      </c>
      <c r="B184" s="5" t="s">
        <v>227</v>
      </c>
      <c r="C184" s="5" t="s">
        <v>30</v>
      </c>
      <c r="D184" s="6" t="n">
        <v>18</v>
      </c>
      <c r="E184" s="6" t="n">
        <v>20</v>
      </c>
      <c r="F184" s="6" t="n">
        <v>294</v>
      </c>
      <c r="G184" s="6" t="n">
        <v>259</v>
      </c>
      <c r="H184" s="6" t="n">
        <v>24</v>
      </c>
      <c r="I184" s="7" t="n">
        <v>67032</v>
      </c>
      <c r="J184" s="6" t="n">
        <v>11</v>
      </c>
      <c r="K184" s="5" t="s">
        <v>338</v>
      </c>
    </row>
    <row r="185" customFormat="false" ht="15" hidden="false" customHeight="false" outlineLevel="0" collapsed="false">
      <c r="A185" s="8" t="s">
        <v>230</v>
      </c>
      <c r="B185" s="8" t="s">
        <v>227</v>
      </c>
      <c r="C185" s="8" t="s">
        <v>30</v>
      </c>
      <c r="D185" s="9" t="n">
        <v>16</v>
      </c>
      <c r="E185" s="9" t="n">
        <v>20</v>
      </c>
      <c r="F185" s="9" t="n">
        <v>298</v>
      </c>
      <c r="G185" s="9" t="n">
        <v>269</v>
      </c>
      <c r="H185" s="9" t="n">
        <v>20</v>
      </c>
      <c r="I185" s="10" t="n">
        <v>66370</v>
      </c>
      <c r="J185" s="9" t="n">
        <v>10</v>
      </c>
      <c r="K185" s="8" t="s">
        <v>338</v>
      </c>
    </row>
    <row r="186" customFormat="false" ht="15" hidden="false" customHeight="false" outlineLevel="0" collapsed="false">
      <c r="A186" s="5" t="s">
        <v>231</v>
      </c>
      <c r="B186" s="5" t="s">
        <v>227</v>
      </c>
      <c r="C186" s="5" t="s">
        <v>30</v>
      </c>
      <c r="D186" s="6" t="n">
        <v>15</v>
      </c>
      <c r="E186" s="6" t="n">
        <v>20</v>
      </c>
      <c r="F186" s="6" t="n">
        <v>269</v>
      </c>
      <c r="G186" s="6" t="n">
        <v>245</v>
      </c>
      <c r="H186" s="6" t="n">
        <v>15</v>
      </c>
      <c r="I186" s="7" t="n">
        <v>68614</v>
      </c>
      <c r="J186" s="6" t="n">
        <v>7</v>
      </c>
      <c r="K186" s="5" t="s">
        <v>338</v>
      </c>
    </row>
    <row r="187" customFormat="false" ht="15" hidden="false" customHeight="false" outlineLevel="0" collapsed="false">
      <c r="A187" s="8" t="s">
        <v>232</v>
      </c>
      <c r="B187" s="8" t="s">
        <v>227</v>
      </c>
      <c r="C187" s="8" t="s">
        <v>37</v>
      </c>
      <c r="D187" s="9" t="n">
        <v>23</v>
      </c>
      <c r="E187" s="9" t="n">
        <v>20</v>
      </c>
      <c r="F187" s="9" t="n">
        <v>530</v>
      </c>
      <c r="G187" s="9" t="n">
        <v>514</v>
      </c>
      <c r="H187" s="9" t="n">
        <v>23</v>
      </c>
      <c r="I187" s="10" t="n">
        <v>85189</v>
      </c>
      <c r="J187" s="9" t="n">
        <v>8</v>
      </c>
      <c r="K187" s="8" t="s">
        <v>338</v>
      </c>
    </row>
    <row r="188" customFormat="false" ht="15" hidden="false" customHeight="false" outlineLevel="0" collapsed="false">
      <c r="A188" s="5" t="s">
        <v>233</v>
      </c>
      <c r="B188" s="5" t="s">
        <v>227</v>
      </c>
      <c r="C188" s="5" t="s">
        <v>37</v>
      </c>
      <c r="D188" s="6" t="n">
        <v>22</v>
      </c>
      <c r="E188" s="6" t="n">
        <v>20</v>
      </c>
      <c r="F188" s="6" t="n">
        <v>538</v>
      </c>
      <c r="G188" s="6" t="n">
        <v>513</v>
      </c>
      <c r="H188" s="6" t="n">
        <v>20</v>
      </c>
      <c r="I188" s="7" t="n">
        <v>83251</v>
      </c>
      <c r="J188" s="6" t="n">
        <v>7</v>
      </c>
      <c r="K188" s="5" t="s">
        <v>338</v>
      </c>
    </row>
    <row r="189" customFormat="false" ht="15" hidden="false" customHeight="false" outlineLevel="0" collapsed="false">
      <c r="A189" s="8" t="s">
        <v>234</v>
      </c>
      <c r="B189" s="8" t="s">
        <v>227</v>
      </c>
      <c r="C189" s="8" t="s">
        <v>37</v>
      </c>
      <c r="D189" s="9" t="n">
        <v>19</v>
      </c>
      <c r="E189" s="9" t="n">
        <v>20</v>
      </c>
      <c r="F189" s="9" t="n">
        <v>531</v>
      </c>
      <c r="G189" s="9" t="n">
        <v>527</v>
      </c>
      <c r="H189" s="9" t="n">
        <v>22</v>
      </c>
      <c r="I189" s="10" t="n">
        <v>85435</v>
      </c>
      <c r="J189" s="9" t="n">
        <v>9</v>
      </c>
      <c r="K189" s="8" t="s">
        <v>338</v>
      </c>
    </row>
    <row r="190" customFormat="false" ht="15" hidden="false" customHeight="false" outlineLevel="0" collapsed="false">
      <c r="A190" s="5" t="s">
        <v>235</v>
      </c>
      <c r="B190" s="5" t="s">
        <v>227</v>
      </c>
      <c r="C190" s="5" t="s">
        <v>37</v>
      </c>
      <c r="D190" s="6" t="n">
        <v>21</v>
      </c>
      <c r="E190" s="6" t="n">
        <v>20</v>
      </c>
      <c r="F190" s="6" t="n">
        <v>507</v>
      </c>
      <c r="G190" s="6" t="n">
        <v>513</v>
      </c>
      <c r="H190" s="6" t="n">
        <v>21</v>
      </c>
      <c r="I190" s="7" t="n">
        <v>82343</v>
      </c>
      <c r="J190" s="6" t="n">
        <v>8</v>
      </c>
      <c r="K190" s="5" t="s">
        <v>338</v>
      </c>
    </row>
    <row r="191" customFormat="false" ht="15" hidden="false" customHeight="false" outlineLevel="0" collapsed="false">
      <c r="A191" s="8" t="s">
        <v>236</v>
      </c>
      <c r="B191" s="8" t="s">
        <v>227</v>
      </c>
      <c r="C191" s="8" t="s">
        <v>37</v>
      </c>
      <c r="D191" s="9" t="n">
        <v>18</v>
      </c>
      <c r="E191" s="9" t="n">
        <v>20</v>
      </c>
      <c r="F191" s="9" t="n">
        <v>525</v>
      </c>
      <c r="G191" s="9" t="n">
        <v>499</v>
      </c>
      <c r="H191" s="9" t="n">
        <v>29</v>
      </c>
      <c r="I191" s="10" t="n">
        <v>85285</v>
      </c>
      <c r="J191" s="9" t="n">
        <v>9</v>
      </c>
      <c r="K191" s="8" t="s">
        <v>338</v>
      </c>
    </row>
    <row r="192" customFormat="false" ht="15" hidden="false" customHeight="false" outlineLevel="0" collapsed="false">
      <c r="A192" s="5" t="s">
        <v>237</v>
      </c>
      <c r="B192" s="5" t="s">
        <v>227</v>
      </c>
      <c r="C192" s="5" t="s">
        <v>43</v>
      </c>
      <c r="D192" s="6" t="n">
        <v>16</v>
      </c>
      <c r="E192" s="6" t="n">
        <v>20</v>
      </c>
      <c r="F192" s="6" t="n">
        <v>208</v>
      </c>
      <c r="G192" s="6" t="n">
        <v>197</v>
      </c>
      <c r="H192" s="6" t="n">
        <v>31</v>
      </c>
      <c r="I192" s="7" t="n">
        <v>79840</v>
      </c>
      <c r="J192" s="6" t="n">
        <v>12</v>
      </c>
      <c r="K192" s="5" t="s">
        <v>338</v>
      </c>
    </row>
    <row r="193" customFormat="false" ht="15" hidden="false" customHeight="false" outlineLevel="0" collapsed="false">
      <c r="A193" s="8" t="s">
        <v>238</v>
      </c>
      <c r="B193" s="8" t="s">
        <v>227</v>
      </c>
      <c r="C193" s="8" t="s">
        <v>43</v>
      </c>
      <c r="D193" s="9" t="n">
        <v>14</v>
      </c>
      <c r="E193" s="9" t="n">
        <v>20</v>
      </c>
      <c r="F193" s="9" t="n">
        <v>229</v>
      </c>
      <c r="G193" s="9" t="n">
        <v>220</v>
      </c>
      <c r="H193" s="9" t="n">
        <v>35</v>
      </c>
      <c r="I193" s="10" t="n">
        <v>74545</v>
      </c>
      <c r="J193" s="9" t="n">
        <v>21</v>
      </c>
      <c r="K193" s="8" t="s">
        <v>338</v>
      </c>
    </row>
    <row r="194" customFormat="false" ht="15" hidden="false" customHeight="false" outlineLevel="0" collapsed="false">
      <c r="A194" s="5" t="s">
        <v>239</v>
      </c>
      <c r="B194" s="5" t="s">
        <v>227</v>
      </c>
      <c r="C194" s="5" t="s">
        <v>43</v>
      </c>
      <c r="D194" s="6" t="n">
        <v>13</v>
      </c>
      <c r="E194" s="6" t="n">
        <v>20</v>
      </c>
      <c r="F194" s="6" t="n">
        <v>230</v>
      </c>
      <c r="G194" s="6" t="n">
        <v>209</v>
      </c>
      <c r="H194" s="6" t="n">
        <v>25</v>
      </c>
      <c r="I194" s="7" t="n">
        <v>68334</v>
      </c>
      <c r="J194" s="6" t="n">
        <v>22</v>
      </c>
      <c r="K194" s="5" t="s">
        <v>338</v>
      </c>
    </row>
    <row r="195" customFormat="false" ht="15" hidden="false" customHeight="false" outlineLevel="0" collapsed="false">
      <c r="A195" s="8" t="s">
        <v>240</v>
      </c>
      <c r="B195" s="8" t="s">
        <v>227</v>
      </c>
      <c r="C195" s="8" t="s">
        <v>43</v>
      </c>
      <c r="D195" s="9" t="n">
        <v>16</v>
      </c>
      <c r="E195" s="9" t="n">
        <v>20</v>
      </c>
      <c r="F195" s="9" t="n">
        <v>207</v>
      </c>
      <c r="G195" s="9" t="n">
        <v>210</v>
      </c>
      <c r="H195" s="9" t="n">
        <v>27</v>
      </c>
      <c r="I195" s="10" t="n">
        <v>81889</v>
      </c>
      <c r="J195" s="9" t="n">
        <v>24</v>
      </c>
      <c r="K195" s="8" t="s">
        <v>338</v>
      </c>
    </row>
    <row r="196" customFormat="false" ht="15" hidden="false" customHeight="false" outlineLevel="0" collapsed="false">
      <c r="A196" s="5" t="s">
        <v>241</v>
      </c>
      <c r="B196" s="5" t="s">
        <v>227</v>
      </c>
      <c r="C196" s="5" t="s">
        <v>43</v>
      </c>
      <c r="D196" s="6" t="n">
        <v>15</v>
      </c>
      <c r="E196" s="6" t="n">
        <v>20</v>
      </c>
      <c r="F196" s="6" t="n">
        <v>224</v>
      </c>
      <c r="G196" s="6" t="n">
        <v>221</v>
      </c>
      <c r="H196" s="6" t="n">
        <v>36</v>
      </c>
      <c r="I196" s="7" t="n">
        <v>79546</v>
      </c>
      <c r="J196" s="6" t="n">
        <v>25</v>
      </c>
      <c r="K196" s="5" t="s">
        <v>338</v>
      </c>
    </row>
    <row r="197" customFormat="false" ht="15" hidden="false" customHeight="false" outlineLevel="0" collapsed="false">
      <c r="A197" s="8" t="s">
        <v>242</v>
      </c>
      <c r="B197" s="8" t="s">
        <v>227</v>
      </c>
      <c r="C197" s="8" t="s">
        <v>49</v>
      </c>
      <c r="D197" s="9" t="n">
        <v>10</v>
      </c>
      <c r="E197" s="9" t="n">
        <v>20</v>
      </c>
      <c r="F197" s="9" t="n">
        <v>343</v>
      </c>
      <c r="G197" s="9" t="n">
        <v>332</v>
      </c>
      <c r="H197" s="9" t="n">
        <v>15</v>
      </c>
      <c r="I197" s="10" t="n">
        <v>49921</v>
      </c>
      <c r="J197" s="9" t="n">
        <v>2</v>
      </c>
      <c r="K197" s="8" t="s">
        <v>338</v>
      </c>
    </row>
    <row r="198" customFormat="false" ht="15" hidden="false" customHeight="false" outlineLevel="0" collapsed="false">
      <c r="A198" s="5" t="s">
        <v>243</v>
      </c>
      <c r="B198" s="5" t="s">
        <v>227</v>
      </c>
      <c r="C198" s="5" t="s">
        <v>49</v>
      </c>
      <c r="D198" s="6" t="n">
        <v>12</v>
      </c>
      <c r="E198" s="6" t="n">
        <v>20</v>
      </c>
      <c r="F198" s="6" t="n">
        <v>373</v>
      </c>
      <c r="G198" s="6" t="n">
        <v>362</v>
      </c>
      <c r="H198" s="6" t="n">
        <v>13</v>
      </c>
      <c r="I198" s="7" t="n">
        <v>49218</v>
      </c>
      <c r="J198" s="6" t="n">
        <v>3</v>
      </c>
      <c r="K198" s="5" t="s">
        <v>338</v>
      </c>
    </row>
    <row r="199" customFormat="false" ht="15" hidden="false" customHeight="false" outlineLevel="0" collapsed="false">
      <c r="A199" s="8" t="s">
        <v>244</v>
      </c>
      <c r="B199" s="8" t="s">
        <v>227</v>
      </c>
      <c r="C199" s="8" t="s">
        <v>49</v>
      </c>
      <c r="D199" s="9" t="n">
        <v>10</v>
      </c>
      <c r="E199" s="9" t="n">
        <v>20</v>
      </c>
      <c r="F199" s="9" t="n">
        <v>346</v>
      </c>
      <c r="G199" s="9" t="n">
        <v>329</v>
      </c>
      <c r="H199" s="9" t="n">
        <v>11</v>
      </c>
      <c r="I199" s="10" t="n">
        <v>48843</v>
      </c>
      <c r="J199" s="9" t="n">
        <v>2</v>
      </c>
      <c r="K199" s="8" t="s">
        <v>338</v>
      </c>
    </row>
    <row r="200" customFormat="false" ht="15" hidden="false" customHeight="false" outlineLevel="0" collapsed="false">
      <c r="A200" s="5" t="s">
        <v>245</v>
      </c>
      <c r="B200" s="5" t="s">
        <v>227</v>
      </c>
      <c r="C200" s="5" t="s">
        <v>49</v>
      </c>
      <c r="D200" s="6" t="n">
        <v>10</v>
      </c>
      <c r="E200" s="6" t="n">
        <v>20</v>
      </c>
      <c r="F200" s="6" t="n">
        <v>345</v>
      </c>
      <c r="G200" s="6" t="n">
        <v>321</v>
      </c>
      <c r="H200" s="6" t="n">
        <v>10</v>
      </c>
      <c r="I200" s="7" t="n">
        <v>50040</v>
      </c>
      <c r="J200" s="6" t="n">
        <v>3</v>
      </c>
      <c r="K200" s="5" t="s">
        <v>338</v>
      </c>
    </row>
    <row r="201" customFormat="false" ht="15" hidden="false" customHeight="false" outlineLevel="0" collapsed="false">
      <c r="A201" s="8" t="s">
        <v>246</v>
      </c>
      <c r="B201" s="8" t="s">
        <v>227</v>
      </c>
      <c r="C201" s="8" t="s">
        <v>49</v>
      </c>
      <c r="D201" s="9" t="n">
        <v>10</v>
      </c>
      <c r="E201" s="9" t="n">
        <v>20</v>
      </c>
      <c r="F201" s="9" t="n">
        <v>358</v>
      </c>
      <c r="G201" s="9" t="n">
        <v>345</v>
      </c>
      <c r="H201" s="9" t="n">
        <v>11</v>
      </c>
      <c r="I201" s="10" t="n">
        <v>51701</v>
      </c>
      <c r="J201" s="9" t="n">
        <v>2</v>
      </c>
      <c r="K201" s="8" t="s">
        <v>338</v>
      </c>
    </row>
    <row r="202" customFormat="false" ht="15" hidden="false" customHeight="false" outlineLevel="0" collapsed="false">
      <c r="A202" s="5" t="s">
        <v>247</v>
      </c>
      <c r="B202" s="5" t="s">
        <v>248</v>
      </c>
      <c r="C202" s="5" t="s">
        <v>30</v>
      </c>
      <c r="D202" s="6" t="n">
        <v>17</v>
      </c>
      <c r="E202" s="6" t="n">
        <v>22</v>
      </c>
      <c r="F202" s="6" t="n">
        <v>278</v>
      </c>
      <c r="G202" s="6" t="n">
        <v>237</v>
      </c>
      <c r="H202" s="6" t="n">
        <v>19</v>
      </c>
      <c r="I202" s="7" t="n">
        <v>66562</v>
      </c>
      <c r="J202" s="6" t="n">
        <v>6</v>
      </c>
      <c r="K202" s="5" t="s">
        <v>338</v>
      </c>
    </row>
    <row r="203" customFormat="false" ht="15" hidden="false" customHeight="false" outlineLevel="0" collapsed="false">
      <c r="A203" s="8" t="s">
        <v>249</v>
      </c>
      <c r="B203" s="8" t="s">
        <v>248</v>
      </c>
      <c r="C203" s="8" t="s">
        <v>30</v>
      </c>
      <c r="D203" s="9" t="n">
        <v>18</v>
      </c>
      <c r="E203" s="9" t="n">
        <v>22</v>
      </c>
      <c r="F203" s="9" t="n">
        <v>260</v>
      </c>
      <c r="G203" s="9" t="n">
        <v>230</v>
      </c>
      <c r="H203" s="9" t="n">
        <v>18</v>
      </c>
      <c r="I203" s="10" t="n">
        <v>69207</v>
      </c>
      <c r="J203" s="9" t="n">
        <v>5</v>
      </c>
      <c r="K203" s="8" t="s">
        <v>338</v>
      </c>
    </row>
    <row r="204" customFormat="false" ht="15" hidden="false" customHeight="false" outlineLevel="0" collapsed="false">
      <c r="A204" s="5" t="s">
        <v>250</v>
      </c>
      <c r="B204" s="5" t="s">
        <v>248</v>
      </c>
      <c r="C204" s="5" t="s">
        <v>30</v>
      </c>
      <c r="D204" s="6" t="n">
        <v>15</v>
      </c>
      <c r="E204" s="6" t="n">
        <v>22</v>
      </c>
      <c r="F204" s="6" t="n">
        <v>288</v>
      </c>
      <c r="G204" s="6" t="n">
        <v>256</v>
      </c>
      <c r="H204" s="6" t="n">
        <v>21</v>
      </c>
      <c r="I204" s="7" t="n">
        <v>62313</v>
      </c>
      <c r="J204" s="6" t="n">
        <v>7</v>
      </c>
      <c r="K204" s="5" t="s">
        <v>338</v>
      </c>
    </row>
    <row r="205" customFormat="false" ht="15" hidden="false" customHeight="false" outlineLevel="0" collapsed="false">
      <c r="A205" s="8" t="s">
        <v>251</v>
      </c>
      <c r="B205" s="8" t="s">
        <v>248</v>
      </c>
      <c r="C205" s="8" t="s">
        <v>30</v>
      </c>
      <c r="D205" s="9" t="n">
        <v>18</v>
      </c>
      <c r="E205" s="9" t="n">
        <v>22</v>
      </c>
      <c r="F205" s="9" t="n">
        <v>283</v>
      </c>
      <c r="G205" s="9" t="n">
        <v>261</v>
      </c>
      <c r="H205" s="9" t="n">
        <v>17</v>
      </c>
      <c r="I205" s="10" t="n">
        <v>68165</v>
      </c>
      <c r="J205" s="9" t="n">
        <v>9</v>
      </c>
      <c r="K205" s="8" t="s">
        <v>338</v>
      </c>
    </row>
    <row r="206" customFormat="false" ht="15" hidden="false" customHeight="false" outlineLevel="0" collapsed="false">
      <c r="A206" s="5" t="s">
        <v>252</v>
      </c>
      <c r="B206" s="5" t="s">
        <v>248</v>
      </c>
      <c r="C206" s="5" t="s">
        <v>30</v>
      </c>
      <c r="D206" s="6" t="n">
        <v>14</v>
      </c>
      <c r="E206" s="6" t="n">
        <v>22</v>
      </c>
      <c r="F206" s="6" t="n">
        <v>275</v>
      </c>
      <c r="G206" s="6" t="n">
        <v>252</v>
      </c>
      <c r="H206" s="6" t="n">
        <v>16</v>
      </c>
      <c r="I206" s="7" t="n">
        <v>65361</v>
      </c>
      <c r="J206" s="6" t="n">
        <v>8</v>
      </c>
      <c r="K206" s="5" t="s">
        <v>338</v>
      </c>
    </row>
    <row r="207" customFormat="false" ht="15" hidden="false" customHeight="false" outlineLevel="0" collapsed="false">
      <c r="A207" s="8" t="s">
        <v>253</v>
      </c>
      <c r="B207" s="8" t="s">
        <v>248</v>
      </c>
      <c r="C207" s="8" t="s">
        <v>37</v>
      </c>
      <c r="D207" s="9" t="n">
        <v>21</v>
      </c>
      <c r="E207" s="9" t="n">
        <v>22</v>
      </c>
      <c r="F207" s="9" t="n">
        <v>506</v>
      </c>
      <c r="G207" s="9" t="n">
        <v>514</v>
      </c>
      <c r="H207" s="9" t="n">
        <v>31</v>
      </c>
      <c r="I207" s="10" t="n">
        <v>84687</v>
      </c>
      <c r="J207" s="9" t="n">
        <v>5</v>
      </c>
      <c r="K207" s="8" t="s">
        <v>338</v>
      </c>
    </row>
    <row r="208" customFormat="false" ht="15" hidden="false" customHeight="false" outlineLevel="0" collapsed="false">
      <c r="A208" s="5" t="s">
        <v>254</v>
      </c>
      <c r="B208" s="5" t="s">
        <v>248</v>
      </c>
      <c r="C208" s="5" t="s">
        <v>37</v>
      </c>
      <c r="D208" s="6" t="n">
        <v>18</v>
      </c>
      <c r="E208" s="6" t="n">
        <v>22</v>
      </c>
      <c r="F208" s="6" t="n">
        <v>519</v>
      </c>
      <c r="G208" s="6" t="n">
        <v>493</v>
      </c>
      <c r="H208" s="6" t="n">
        <v>23</v>
      </c>
      <c r="I208" s="7" t="n">
        <v>89186</v>
      </c>
      <c r="J208" s="6" t="n">
        <v>9</v>
      </c>
      <c r="K208" s="5" t="s">
        <v>338</v>
      </c>
    </row>
    <row r="209" customFormat="false" ht="15" hidden="false" customHeight="false" outlineLevel="0" collapsed="false">
      <c r="A209" s="8" t="s">
        <v>255</v>
      </c>
      <c r="B209" s="8" t="s">
        <v>248</v>
      </c>
      <c r="C209" s="8" t="s">
        <v>37</v>
      </c>
      <c r="D209" s="9" t="n">
        <v>19</v>
      </c>
      <c r="E209" s="9" t="n">
        <v>22</v>
      </c>
      <c r="F209" s="9" t="n">
        <v>501</v>
      </c>
      <c r="G209" s="9" t="n">
        <v>476</v>
      </c>
      <c r="H209" s="9" t="n">
        <v>20</v>
      </c>
      <c r="I209" s="10" t="n">
        <v>85246</v>
      </c>
      <c r="J209" s="9" t="n">
        <v>7</v>
      </c>
      <c r="K209" s="8" t="s">
        <v>338</v>
      </c>
    </row>
    <row r="210" customFormat="false" ht="15" hidden="false" customHeight="false" outlineLevel="0" collapsed="false">
      <c r="A210" s="5" t="s">
        <v>256</v>
      </c>
      <c r="B210" s="5" t="s">
        <v>248</v>
      </c>
      <c r="C210" s="5" t="s">
        <v>37</v>
      </c>
      <c r="D210" s="6" t="n">
        <v>20</v>
      </c>
      <c r="E210" s="6" t="n">
        <v>22</v>
      </c>
      <c r="F210" s="6" t="n">
        <v>492</v>
      </c>
      <c r="G210" s="6" t="n">
        <v>510</v>
      </c>
      <c r="H210" s="6" t="n">
        <v>27</v>
      </c>
      <c r="I210" s="7" t="n">
        <v>89985</v>
      </c>
      <c r="J210" s="6" t="n">
        <v>6</v>
      </c>
      <c r="K210" s="5" t="s">
        <v>338</v>
      </c>
    </row>
    <row r="211" customFormat="false" ht="15" hidden="false" customHeight="false" outlineLevel="0" collapsed="false">
      <c r="A211" s="8" t="s">
        <v>257</v>
      </c>
      <c r="B211" s="8" t="s">
        <v>248</v>
      </c>
      <c r="C211" s="8" t="s">
        <v>37</v>
      </c>
      <c r="D211" s="9" t="n">
        <v>21</v>
      </c>
      <c r="E211" s="9" t="n">
        <v>22</v>
      </c>
      <c r="F211" s="9" t="n">
        <v>494</v>
      </c>
      <c r="G211" s="9" t="n">
        <v>482</v>
      </c>
      <c r="H211" s="9" t="n">
        <v>27</v>
      </c>
      <c r="I211" s="10" t="n">
        <v>87753</v>
      </c>
      <c r="J211" s="9" t="n">
        <v>7</v>
      </c>
      <c r="K211" s="8" t="s">
        <v>338</v>
      </c>
    </row>
    <row r="212" customFormat="false" ht="15" hidden="false" customHeight="false" outlineLevel="0" collapsed="false">
      <c r="A212" s="5" t="s">
        <v>258</v>
      </c>
      <c r="B212" s="5" t="s">
        <v>248</v>
      </c>
      <c r="C212" s="5" t="s">
        <v>43</v>
      </c>
      <c r="D212" s="6" t="n">
        <v>14</v>
      </c>
      <c r="E212" s="6" t="n">
        <v>22</v>
      </c>
      <c r="F212" s="6" t="n">
        <v>209</v>
      </c>
      <c r="G212" s="6" t="n">
        <v>220</v>
      </c>
      <c r="H212" s="6" t="n">
        <v>35</v>
      </c>
      <c r="I212" s="7" t="n">
        <v>82968</v>
      </c>
      <c r="J212" s="6" t="n">
        <v>19</v>
      </c>
      <c r="K212" s="5" t="s">
        <v>338</v>
      </c>
    </row>
    <row r="213" customFormat="false" ht="15" hidden="false" customHeight="false" outlineLevel="0" collapsed="false">
      <c r="A213" s="8" t="s">
        <v>259</v>
      </c>
      <c r="B213" s="8" t="s">
        <v>248</v>
      </c>
      <c r="C213" s="8" t="s">
        <v>43</v>
      </c>
      <c r="D213" s="9" t="n">
        <v>12</v>
      </c>
      <c r="E213" s="9" t="n">
        <v>22</v>
      </c>
      <c r="F213" s="9" t="n">
        <v>203</v>
      </c>
      <c r="G213" s="9" t="n">
        <v>191</v>
      </c>
      <c r="H213" s="9" t="n">
        <v>31</v>
      </c>
      <c r="I213" s="10" t="n">
        <v>79271</v>
      </c>
      <c r="J213" s="9" t="n">
        <v>14</v>
      </c>
      <c r="K213" s="8" t="s">
        <v>338</v>
      </c>
    </row>
    <row r="214" customFormat="false" ht="15" hidden="false" customHeight="false" outlineLevel="0" collapsed="false">
      <c r="A214" s="5" t="s">
        <v>260</v>
      </c>
      <c r="B214" s="5" t="s">
        <v>248</v>
      </c>
      <c r="C214" s="5" t="s">
        <v>43</v>
      </c>
      <c r="D214" s="6" t="n">
        <v>15</v>
      </c>
      <c r="E214" s="6" t="n">
        <v>22</v>
      </c>
      <c r="F214" s="6" t="n">
        <v>197</v>
      </c>
      <c r="G214" s="6" t="n">
        <v>189</v>
      </c>
      <c r="H214" s="6" t="n">
        <v>21</v>
      </c>
      <c r="I214" s="7" t="n">
        <v>76727</v>
      </c>
      <c r="J214" s="6" t="n">
        <v>13</v>
      </c>
      <c r="K214" s="5" t="s">
        <v>338</v>
      </c>
    </row>
    <row r="215" customFormat="false" ht="15" hidden="false" customHeight="false" outlineLevel="0" collapsed="false">
      <c r="A215" s="8" t="s">
        <v>261</v>
      </c>
      <c r="B215" s="8" t="s">
        <v>248</v>
      </c>
      <c r="C215" s="8" t="s">
        <v>43</v>
      </c>
      <c r="D215" s="9" t="n">
        <v>13</v>
      </c>
      <c r="E215" s="9" t="n">
        <v>22</v>
      </c>
      <c r="F215" s="9" t="n">
        <v>208</v>
      </c>
      <c r="G215" s="9" t="n">
        <v>202</v>
      </c>
      <c r="H215" s="9" t="n">
        <v>25</v>
      </c>
      <c r="I215" s="10" t="n">
        <v>80619</v>
      </c>
      <c r="J215" s="9" t="n">
        <v>20</v>
      </c>
      <c r="K215" s="8" t="s">
        <v>338</v>
      </c>
    </row>
    <row r="216" customFormat="false" ht="15" hidden="false" customHeight="false" outlineLevel="0" collapsed="false">
      <c r="A216" s="5" t="s">
        <v>262</v>
      </c>
      <c r="B216" s="5" t="s">
        <v>248</v>
      </c>
      <c r="C216" s="5" t="s">
        <v>43</v>
      </c>
      <c r="D216" s="6" t="n">
        <v>16</v>
      </c>
      <c r="E216" s="6" t="n">
        <v>22</v>
      </c>
      <c r="F216" s="6" t="n">
        <v>204</v>
      </c>
      <c r="G216" s="6" t="n">
        <v>195</v>
      </c>
      <c r="H216" s="6" t="n">
        <v>32</v>
      </c>
      <c r="I216" s="7" t="n">
        <v>76627</v>
      </c>
      <c r="J216" s="6" t="n">
        <v>19</v>
      </c>
      <c r="K216" s="5" t="s">
        <v>338</v>
      </c>
    </row>
    <row r="217" customFormat="false" ht="15" hidden="false" customHeight="false" outlineLevel="0" collapsed="false">
      <c r="A217" s="8" t="s">
        <v>263</v>
      </c>
      <c r="B217" s="8" t="s">
        <v>248</v>
      </c>
      <c r="C217" s="8" t="s">
        <v>49</v>
      </c>
      <c r="D217" s="9" t="n">
        <v>12</v>
      </c>
      <c r="E217" s="9" t="n">
        <v>22</v>
      </c>
      <c r="F217" s="9" t="n">
        <v>350</v>
      </c>
      <c r="G217" s="9" t="n">
        <v>313</v>
      </c>
      <c r="H217" s="9" t="n">
        <v>12</v>
      </c>
      <c r="I217" s="10" t="n">
        <v>49036</v>
      </c>
      <c r="J217" s="9" t="n">
        <v>3</v>
      </c>
      <c r="K217" s="8" t="s">
        <v>338</v>
      </c>
    </row>
    <row r="218" customFormat="false" ht="15" hidden="false" customHeight="false" outlineLevel="0" collapsed="false">
      <c r="A218" s="5" t="s">
        <v>264</v>
      </c>
      <c r="B218" s="5" t="s">
        <v>248</v>
      </c>
      <c r="C218" s="5" t="s">
        <v>49</v>
      </c>
      <c r="D218" s="6" t="n">
        <v>9</v>
      </c>
      <c r="E218" s="6" t="n">
        <v>22</v>
      </c>
      <c r="F218" s="6" t="n">
        <v>358</v>
      </c>
      <c r="G218" s="6" t="n">
        <v>341</v>
      </c>
      <c r="H218" s="6" t="n">
        <v>13</v>
      </c>
      <c r="I218" s="7" t="n">
        <v>50515</v>
      </c>
      <c r="J218" s="6" t="n">
        <v>2</v>
      </c>
      <c r="K218" s="5" t="s">
        <v>338</v>
      </c>
    </row>
    <row r="219" customFormat="false" ht="15" hidden="false" customHeight="false" outlineLevel="0" collapsed="false">
      <c r="A219" s="8" t="s">
        <v>265</v>
      </c>
      <c r="B219" s="8" t="s">
        <v>248</v>
      </c>
      <c r="C219" s="8" t="s">
        <v>49</v>
      </c>
      <c r="D219" s="9" t="n">
        <v>9</v>
      </c>
      <c r="E219" s="9" t="n">
        <v>22</v>
      </c>
      <c r="F219" s="9" t="n">
        <v>332</v>
      </c>
      <c r="G219" s="9" t="n">
        <v>310</v>
      </c>
      <c r="H219" s="9" t="n">
        <v>12</v>
      </c>
      <c r="I219" s="10" t="n">
        <v>48339</v>
      </c>
      <c r="J219" s="9" t="n">
        <v>2</v>
      </c>
      <c r="K219" s="8" t="s">
        <v>338</v>
      </c>
    </row>
    <row r="220" customFormat="false" ht="15" hidden="false" customHeight="false" outlineLevel="0" collapsed="false">
      <c r="A220" s="5" t="s">
        <v>266</v>
      </c>
      <c r="B220" s="5" t="s">
        <v>248</v>
      </c>
      <c r="C220" s="5" t="s">
        <v>49</v>
      </c>
      <c r="D220" s="6" t="n">
        <v>12</v>
      </c>
      <c r="E220" s="6" t="n">
        <v>22</v>
      </c>
      <c r="F220" s="6" t="n">
        <v>341</v>
      </c>
      <c r="G220" s="6" t="n">
        <v>340</v>
      </c>
      <c r="H220" s="6" t="n">
        <v>13</v>
      </c>
      <c r="I220" s="7" t="n">
        <v>49315</v>
      </c>
      <c r="J220" s="6" t="n">
        <v>2</v>
      </c>
      <c r="K220" s="5" t="s">
        <v>338</v>
      </c>
    </row>
    <row r="221" customFormat="false" ht="15" hidden="false" customHeight="false" outlineLevel="0" collapsed="false">
      <c r="A221" s="8" t="s">
        <v>267</v>
      </c>
      <c r="B221" s="8" t="s">
        <v>248</v>
      </c>
      <c r="C221" s="8" t="s">
        <v>49</v>
      </c>
      <c r="D221" s="9" t="n">
        <v>9</v>
      </c>
      <c r="E221" s="9" t="n">
        <v>22</v>
      </c>
      <c r="F221" s="9" t="n">
        <v>340</v>
      </c>
      <c r="G221" s="9" t="n">
        <v>329</v>
      </c>
      <c r="H221" s="9" t="n">
        <v>11</v>
      </c>
      <c r="I221" s="10" t="n">
        <v>52173</v>
      </c>
      <c r="J221" s="9" t="n">
        <v>3</v>
      </c>
      <c r="K221" s="8" t="s">
        <v>338</v>
      </c>
    </row>
    <row r="222" customFormat="false" ht="15" hidden="false" customHeight="false" outlineLevel="0" collapsed="false">
      <c r="A222" s="5" t="s">
        <v>268</v>
      </c>
      <c r="B222" s="5" t="s">
        <v>269</v>
      </c>
      <c r="C222" s="5" t="s">
        <v>30</v>
      </c>
      <c r="D222" s="6" t="n">
        <v>14</v>
      </c>
      <c r="E222" s="6" t="n">
        <v>22</v>
      </c>
      <c r="F222" s="6" t="n">
        <v>244</v>
      </c>
      <c r="G222" s="6" t="n">
        <v>225</v>
      </c>
      <c r="H222" s="6" t="n">
        <v>17</v>
      </c>
      <c r="I222" s="7" t="n">
        <v>68974</v>
      </c>
      <c r="J222" s="6" t="n">
        <v>10</v>
      </c>
      <c r="K222" s="5" t="s">
        <v>338</v>
      </c>
    </row>
    <row r="223" customFormat="false" ht="15" hidden="false" customHeight="false" outlineLevel="0" collapsed="false">
      <c r="A223" s="8" t="s">
        <v>270</v>
      </c>
      <c r="B223" s="8" t="s">
        <v>269</v>
      </c>
      <c r="C223" s="8" t="s">
        <v>30</v>
      </c>
      <c r="D223" s="9" t="n">
        <v>15</v>
      </c>
      <c r="E223" s="9" t="n">
        <v>22</v>
      </c>
      <c r="F223" s="9" t="n">
        <v>259</v>
      </c>
      <c r="G223" s="9" t="n">
        <v>237</v>
      </c>
      <c r="H223" s="9" t="n">
        <v>21</v>
      </c>
      <c r="I223" s="10" t="n">
        <v>70699</v>
      </c>
      <c r="J223" s="9" t="n">
        <v>6</v>
      </c>
      <c r="K223" s="8" t="s">
        <v>338</v>
      </c>
    </row>
    <row r="224" customFormat="false" ht="15" hidden="false" customHeight="false" outlineLevel="0" collapsed="false">
      <c r="A224" s="5" t="s">
        <v>271</v>
      </c>
      <c r="B224" s="5" t="s">
        <v>269</v>
      </c>
      <c r="C224" s="5" t="s">
        <v>30</v>
      </c>
      <c r="D224" s="6" t="n">
        <v>18</v>
      </c>
      <c r="E224" s="6" t="n">
        <v>22</v>
      </c>
      <c r="F224" s="6" t="n">
        <v>247</v>
      </c>
      <c r="G224" s="6" t="n">
        <v>224</v>
      </c>
      <c r="H224" s="6" t="n">
        <v>14</v>
      </c>
      <c r="I224" s="7" t="n">
        <v>67761</v>
      </c>
      <c r="J224" s="6" t="n">
        <v>6</v>
      </c>
      <c r="K224" s="5" t="s">
        <v>338</v>
      </c>
    </row>
    <row r="225" customFormat="false" ht="15" hidden="false" customHeight="false" outlineLevel="0" collapsed="false">
      <c r="A225" s="8" t="s">
        <v>272</v>
      </c>
      <c r="B225" s="8" t="s">
        <v>269</v>
      </c>
      <c r="C225" s="8" t="s">
        <v>30</v>
      </c>
      <c r="D225" s="9" t="n">
        <v>15</v>
      </c>
      <c r="E225" s="9" t="n">
        <v>22</v>
      </c>
      <c r="F225" s="9" t="n">
        <v>253</v>
      </c>
      <c r="G225" s="9" t="n">
        <v>255</v>
      </c>
      <c r="H225" s="9" t="n">
        <v>20</v>
      </c>
      <c r="I225" s="10" t="n">
        <v>67307</v>
      </c>
      <c r="J225" s="9" t="n">
        <v>7</v>
      </c>
      <c r="K225" s="8" t="s">
        <v>338</v>
      </c>
    </row>
    <row r="226" customFormat="false" ht="15" hidden="false" customHeight="false" outlineLevel="0" collapsed="false">
      <c r="A226" s="5" t="s">
        <v>273</v>
      </c>
      <c r="B226" s="5" t="s">
        <v>269</v>
      </c>
      <c r="C226" s="5" t="s">
        <v>30</v>
      </c>
      <c r="D226" s="6" t="n">
        <v>16</v>
      </c>
      <c r="E226" s="6" t="n">
        <v>22</v>
      </c>
      <c r="F226" s="6" t="n">
        <v>236</v>
      </c>
      <c r="G226" s="6" t="n">
        <v>221</v>
      </c>
      <c r="H226" s="6" t="n">
        <v>15</v>
      </c>
      <c r="I226" s="7" t="n">
        <v>69387</v>
      </c>
      <c r="J226" s="6" t="n">
        <v>5</v>
      </c>
      <c r="K226" s="5" t="s">
        <v>338</v>
      </c>
    </row>
    <row r="227" customFormat="false" ht="15" hidden="false" customHeight="false" outlineLevel="0" collapsed="false">
      <c r="A227" s="8" t="s">
        <v>274</v>
      </c>
      <c r="B227" s="8" t="s">
        <v>269</v>
      </c>
      <c r="C227" s="8" t="s">
        <v>37</v>
      </c>
      <c r="D227" s="9" t="n">
        <v>22</v>
      </c>
      <c r="E227" s="9" t="n">
        <v>22</v>
      </c>
      <c r="F227" s="9" t="n">
        <v>436</v>
      </c>
      <c r="G227" s="9" t="n">
        <v>444</v>
      </c>
      <c r="H227" s="9" t="n">
        <v>25</v>
      </c>
      <c r="I227" s="10" t="n">
        <v>87604</v>
      </c>
      <c r="J227" s="9" t="n">
        <v>7</v>
      </c>
      <c r="K227" s="8" t="s">
        <v>338</v>
      </c>
    </row>
    <row r="228" customFormat="false" ht="15" hidden="false" customHeight="false" outlineLevel="0" collapsed="false">
      <c r="A228" s="5" t="s">
        <v>275</v>
      </c>
      <c r="B228" s="5" t="s">
        <v>269</v>
      </c>
      <c r="C228" s="5" t="s">
        <v>37</v>
      </c>
      <c r="D228" s="6" t="n">
        <v>24</v>
      </c>
      <c r="E228" s="6" t="n">
        <v>22</v>
      </c>
      <c r="F228" s="6" t="n">
        <v>430</v>
      </c>
      <c r="G228" s="6" t="n">
        <v>412</v>
      </c>
      <c r="H228" s="6" t="n">
        <v>18</v>
      </c>
      <c r="I228" s="7" t="n">
        <v>87322</v>
      </c>
      <c r="J228" s="6" t="n">
        <v>4</v>
      </c>
      <c r="K228" s="5" t="s">
        <v>338</v>
      </c>
    </row>
    <row r="229" customFormat="false" ht="15" hidden="false" customHeight="false" outlineLevel="0" collapsed="false">
      <c r="A229" s="8" t="s">
        <v>276</v>
      </c>
      <c r="B229" s="8" t="s">
        <v>269</v>
      </c>
      <c r="C229" s="8" t="s">
        <v>37</v>
      </c>
      <c r="D229" s="9" t="n">
        <v>24</v>
      </c>
      <c r="E229" s="9" t="n">
        <v>22</v>
      </c>
      <c r="F229" s="9" t="n">
        <v>444</v>
      </c>
      <c r="G229" s="9" t="n">
        <v>433</v>
      </c>
      <c r="H229" s="9" t="n">
        <v>19</v>
      </c>
      <c r="I229" s="10" t="n">
        <v>86581</v>
      </c>
      <c r="J229" s="9" t="n">
        <v>5</v>
      </c>
      <c r="K229" s="8" t="s">
        <v>338</v>
      </c>
    </row>
    <row r="230" customFormat="false" ht="15" hidden="false" customHeight="false" outlineLevel="0" collapsed="false">
      <c r="A230" s="5" t="s">
        <v>277</v>
      </c>
      <c r="B230" s="5" t="s">
        <v>269</v>
      </c>
      <c r="C230" s="5" t="s">
        <v>37</v>
      </c>
      <c r="D230" s="6" t="n">
        <v>20</v>
      </c>
      <c r="E230" s="6" t="n">
        <v>22</v>
      </c>
      <c r="F230" s="6" t="n">
        <v>429</v>
      </c>
      <c r="G230" s="6" t="n">
        <v>419</v>
      </c>
      <c r="H230" s="6" t="n">
        <v>23</v>
      </c>
      <c r="I230" s="7" t="n">
        <v>85482</v>
      </c>
      <c r="J230" s="6" t="n">
        <v>5</v>
      </c>
      <c r="K230" s="5" t="s">
        <v>338</v>
      </c>
    </row>
    <row r="231" customFormat="false" ht="15" hidden="false" customHeight="false" outlineLevel="0" collapsed="false">
      <c r="A231" s="8" t="s">
        <v>278</v>
      </c>
      <c r="B231" s="8" t="s">
        <v>269</v>
      </c>
      <c r="C231" s="8" t="s">
        <v>37</v>
      </c>
      <c r="D231" s="9" t="n">
        <v>19</v>
      </c>
      <c r="E231" s="9" t="n">
        <v>22</v>
      </c>
      <c r="F231" s="9" t="n">
        <v>448</v>
      </c>
      <c r="G231" s="9" t="n">
        <v>406</v>
      </c>
      <c r="H231" s="9" t="n">
        <v>21</v>
      </c>
      <c r="I231" s="10" t="n">
        <v>89166</v>
      </c>
      <c r="J231" s="9" t="n">
        <v>5</v>
      </c>
      <c r="K231" s="8" t="s">
        <v>338</v>
      </c>
    </row>
    <row r="232" customFormat="false" ht="15" hidden="false" customHeight="false" outlineLevel="0" collapsed="false">
      <c r="A232" s="5" t="s">
        <v>279</v>
      </c>
      <c r="B232" s="5" t="s">
        <v>269</v>
      </c>
      <c r="C232" s="5" t="s">
        <v>43</v>
      </c>
      <c r="D232" s="6" t="n">
        <v>15</v>
      </c>
      <c r="E232" s="6" t="n">
        <v>22</v>
      </c>
      <c r="F232" s="6" t="n">
        <v>187</v>
      </c>
      <c r="G232" s="6" t="n">
        <v>174</v>
      </c>
      <c r="H232" s="6" t="n">
        <v>26</v>
      </c>
      <c r="I232" s="7" t="n">
        <v>83153</v>
      </c>
      <c r="J232" s="6" t="n">
        <v>20</v>
      </c>
      <c r="K232" s="5" t="s">
        <v>338</v>
      </c>
    </row>
    <row r="233" customFormat="false" ht="15" hidden="false" customHeight="false" outlineLevel="0" collapsed="false">
      <c r="A233" s="8" t="s">
        <v>280</v>
      </c>
      <c r="B233" s="8" t="s">
        <v>269</v>
      </c>
      <c r="C233" s="8" t="s">
        <v>43</v>
      </c>
      <c r="D233" s="9" t="n">
        <v>12</v>
      </c>
      <c r="E233" s="9" t="n">
        <v>22</v>
      </c>
      <c r="F233" s="9" t="n">
        <v>172</v>
      </c>
      <c r="G233" s="9" t="n">
        <v>163</v>
      </c>
      <c r="H233" s="9" t="n">
        <v>28</v>
      </c>
      <c r="I233" s="10" t="n">
        <v>80343</v>
      </c>
      <c r="J233" s="9" t="n">
        <v>12</v>
      </c>
      <c r="K233" s="8" t="s">
        <v>338</v>
      </c>
    </row>
    <row r="234" customFormat="false" ht="15" hidden="false" customHeight="false" outlineLevel="0" collapsed="false">
      <c r="A234" s="5" t="s">
        <v>281</v>
      </c>
      <c r="B234" s="5" t="s">
        <v>269</v>
      </c>
      <c r="C234" s="5" t="s">
        <v>43</v>
      </c>
      <c r="D234" s="6" t="n">
        <v>12</v>
      </c>
      <c r="E234" s="6" t="n">
        <v>22</v>
      </c>
      <c r="F234" s="6" t="n">
        <v>190</v>
      </c>
      <c r="G234" s="6" t="n">
        <v>183</v>
      </c>
      <c r="H234" s="6" t="n">
        <v>23</v>
      </c>
      <c r="I234" s="7" t="n">
        <v>81630</v>
      </c>
      <c r="J234" s="6" t="n">
        <v>19</v>
      </c>
      <c r="K234" s="5" t="s">
        <v>338</v>
      </c>
    </row>
    <row r="235" customFormat="false" ht="15" hidden="false" customHeight="false" outlineLevel="0" collapsed="false">
      <c r="A235" s="8" t="s">
        <v>282</v>
      </c>
      <c r="B235" s="8" t="s">
        <v>269</v>
      </c>
      <c r="C235" s="8" t="s">
        <v>43</v>
      </c>
      <c r="D235" s="9" t="n">
        <v>12</v>
      </c>
      <c r="E235" s="9" t="n">
        <v>22</v>
      </c>
      <c r="F235" s="9" t="n">
        <v>176</v>
      </c>
      <c r="G235" s="9" t="n">
        <v>172</v>
      </c>
      <c r="H235" s="9" t="n">
        <v>29</v>
      </c>
      <c r="I235" s="10" t="n">
        <v>81102</v>
      </c>
      <c r="J235" s="9" t="n">
        <v>16</v>
      </c>
      <c r="K235" s="8" t="s">
        <v>338</v>
      </c>
    </row>
    <row r="236" customFormat="false" ht="15" hidden="false" customHeight="false" outlineLevel="0" collapsed="false">
      <c r="A236" s="5" t="s">
        <v>283</v>
      </c>
      <c r="B236" s="5" t="s">
        <v>269</v>
      </c>
      <c r="C236" s="5" t="s">
        <v>43</v>
      </c>
      <c r="D236" s="6" t="n">
        <v>16</v>
      </c>
      <c r="E236" s="6" t="n">
        <v>22</v>
      </c>
      <c r="F236" s="6" t="n">
        <v>169</v>
      </c>
      <c r="G236" s="6" t="n">
        <v>151</v>
      </c>
      <c r="H236" s="6" t="n">
        <v>18</v>
      </c>
      <c r="I236" s="7" t="n">
        <v>77780</v>
      </c>
      <c r="J236" s="6" t="n">
        <v>14</v>
      </c>
      <c r="K236" s="5" t="s">
        <v>338</v>
      </c>
    </row>
    <row r="237" customFormat="false" ht="15" hidden="false" customHeight="false" outlineLevel="0" collapsed="false">
      <c r="A237" s="8" t="s">
        <v>284</v>
      </c>
      <c r="B237" s="8" t="s">
        <v>269</v>
      </c>
      <c r="C237" s="8" t="s">
        <v>49</v>
      </c>
      <c r="D237" s="9" t="n">
        <v>8</v>
      </c>
      <c r="E237" s="9" t="n">
        <v>22</v>
      </c>
      <c r="F237" s="9" t="n">
        <v>317</v>
      </c>
      <c r="G237" s="9" t="n">
        <v>320</v>
      </c>
      <c r="H237" s="9" t="n">
        <v>14</v>
      </c>
      <c r="I237" s="10" t="n">
        <v>50852</v>
      </c>
      <c r="J237" s="9" t="n">
        <v>2</v>
      </c>
      <c r="K237" s="8" t="s">
        <v>338</v>
      </c>
    </row>
    <row r="238" customFormat="false" ht="15" hidden="false" customHeight="false" outlineLevel="0" collapsed="false">
      <c r="A238" s="5" t="s">
        <v>285</v>
      </c>
      <c r="B238" s="5" t="s">
        <v>269</v>
      </c>
      <c r="C238" s="5" t="s">
        <v>49</v>
      </c>
      <c r="D238" s="6" t="n">
        <v>8</v>
      </c>
      <c r="E238" s="6" t="n">
        <v>22</v>
      </c>
      <c r="F238" s="6" t="n">
        <v>295</v>
      </c>
      <c r="G238" s="6" t="n">
        <v>283</v>
      </c>
      <c r="H238" s="6" t="n">
        <v>10</v>
      </c>
      <c r="I238" s="7" t="n">
        <v>52721</v>
      </c>
      <c r="J238" s="6" t="n">
        <v>2</v>
      </c>
      <c r="K238" s="5" t="s">
        <v>338</v>
      </c>
    </row>
    <row r="239" customFormat="false" ht="15" hidden="false" customHeight="false" outlineLevel="0" collapsed="false">
      <c r="A239" s="8" t="s">
        <v>286</v>
      </c>
      <c r="B239" s="8" t="s">
        <v>269</v>
      </c>
      <c r="C239" s="8" t="s">
        <v>49</v>
      </c>
      <c r="D239" s="9" t="n">
        <v>9</v>
      </c>
      <c r="E239" s="9" t="n">
        <v>22</v>
      </c>
      <c r="F239" s="9" t="n">
        <v>302</v>
      </c>
      <c r="G239" s="9" t="n">
        <v>288</v>
      </c>
      <c r="H239" s="9" t="n">
        <v>13</v>
      </c>
      <c r="I239" s="10" t="n">
        <v>52397</v>
      </c>
      <c r="J239" s="9" t="n">
        <v>2</v>
      </c>
      <c r="K239" s="8" t="s">
        <v>338</v>
      </c>
    </row>
    <row r="240" customFormat="false" ht="15" hidden="false" customHeight="false" outlineLevel="0" collapsed="false">
      <c r="A240" s="5" t="s">
        <v>287</v>
      </c>
      <c r="B240" s="5" t="s">
        <v>269</v>
      </c>
      <c r="C240" s="5" t="s">
        <v>49</v>
      </c>
      <c r="D240" s="6" t="n">
        <v>8</v>
      </c>
      <c r="E240" s="6" t="n">
        <v>22</v>
      </c>
      <c r="F240" s="6" t="n">
        <v>305</v>
      </c>
      <c r="G240" s="6" t="n">
        <v>282</v>
      </c>
      <c r="H240" s="6" t="n">
        <v>11</v>
      </c>
      <c r="I240" s="7" t="n">
        <v>49026</v>
      </c>
      <c r="J240" s="6" t="n">
        <v>2</v>
      </c>
      <c r="K240" s="5" t="s">
        <v>338</v>
      </c>
    </row>
    <row r="241" customFormat="false" ht="15" hidden="false" customHeight="false" outlineLevel="0" collapsed="false">
      <c r="A241" s="8" t="s">
        <v>288</v>
      </c>
      <c r="B241" s="8" t="s">
        <v>269</v>
      </c>
      <c r="C241" s="8" t="s">
        <v>49</v>
      </c>
      <c r="D241" s="9" t="n">
        <v>11</v>
      </c>
      <c r="E241" s="9" t="n">
        <v>22</v>
      </c>
      <c r="F241" s="9" t="n">
        <v>313</v>
      </c>
      <c r="G241" s="9" t="n">
        <v>284</v>
      </c>
      <c r="H241" s="9" t="n">
        <v>10</v>
      </c>
      <c r="I241" s="10" t="n">
        <v>50773</v>
      </c>
      <c r="J241" s="9" t="n">
        <v>1</v>
      </c>
      <c r="K241" s="8" t="s">
        <v>338</v>
      </c>
    </row>
  </sheetData>
  <autoFilter ref="A1:K2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8"/>
    <col collapsed="false" customWidth="true" hidden="false" outlineLevel="0" max="2" min="2" style="0" width="24"/>
    <col collapsed="false" customWidth="true" hidden="false" outlineLevel="0" max="3" min="3" style="0" width="18"/>
    <col collapsed="false" customWidth="true" hidden="false" outlineLevel="0" max="4" min="4" style="0" width="42"/>
    <col collapsed="false" customWidth="true" hidden="false" outlineLevel="0" max="13" min="5" style="0" width="18"/>
  </cols>
  <sheetData>
    <row r="2" customFormat="false" ht="34.5" hidden="false" customHeight="true" outlineLevel="0" collapsed="false">
      <c r="B2" s="1" t="s">
        <v>339</v>
      </c>
      <c r="C2" s="1"/>
      <c r="D2" s="1"/>
      <c r="E2" s="1"/>
      <c r="F2" s="1"/>
      <c r="G2" s="1"/>
      <c r="H2" s="1"/>
      <c r="I2" s="1"/>
      <c r="J2" s="1"/>
    </row>
    <row r="4" customFormat="false" ht="16.15" hidden="false" customHeight="false" outlineLevel="0" collapsed="false">
      <c r="B4" s="14" t="s">
        <v>340</v>
      </c>
    </row>
    <row r="5" customFormat="false" ht="15" hidden="false" customHeight="false" outlineLevel="0" collapsed="false">
      <c r="B5" s="15" t="s">
        <v>341</v>
      </c>
      <c r="C5" s="16" t="n">
        <f aca="false">SUM('CLEAN DATA'!F2:F241)</f>
        <v>77334</v>
      </c>
      <c r="D5" s="17" t="s">
        <v>342</v>
      </c>
    </row>
    <row r="6" customFormat="false" ht="15" hidden="false" customHeight="false" outlineLevel="0" collapsed="false">
      <c r="B6" s="18" t="s">
        <v>343</v>
      </c>
      <c r="C6" s="19" t="n">
        <f aca="false">SUM('CLEAN DATA'!G2:G241)</f>
        <v>74164</v>
      </c>
      <c r="D6" s="20" t="s">
        <v>344</v>
      </c>
    </row>
    <row r="7" customFormat="false" ht="15" hidden="false" customHeight="false" outlineLevel="0" collapsed="false">
      <c r="B7" s="18" t="s">
        <v>345</v>
      </c>
      <c r="C7" s="21" t="n">
        <f aca="false">IF(C5&gt;0, C6/C5, 0)</f>
        <v>0.959008974060568</v>
      </c>
      <c r="D7" s="20" t="s">
        <v>346</v>
      </c>
    </row>
    <row r="8" customFormat="false" ht="15" hidden="false" customHeight="false" outlineLevel="0" collapsed="false">
      <c r="B8" s="18" t="s">
        <v>347</v>
      </c>
      <c r="C8" s="19" t="n">
        <f aca="false">SUM('CLEAN DATA'!H2:H241)</f>
        <v>5207</v>
      </c>
      <c r="D8" s="20" t="s">
        <v>348</v>
      </c>
    </row>
    <row r="9" customFormat="false" ht="15" hidden="false" customHeight="false" outlineLevel="0" collapsed="false">
      <c r="B9" s="18" t="s">
        <v>349</v>
      </c>
      <c r="C9" s="21" t="n">
        <f aca="false">IF(C6&gt;0, C8/C6, 0)</f>
        <v>0.0702092659511353</v>
      </c>
      <c r="D9" s="20" t="s">
        <v>350</v>
      </c>
    </row>
    <row r="10" customFormat="false" ht="15" hidden="false" customHeight="false" outlineLevel="0" collapsed="false">
      <c r="B10" s="18" t="s">
        <v>351</v>
      </c>
      <c r="C10" s="22" t="n">
        <f aca="false">SUM('CLEAN DATA'!I2:I241)</f>
        <v>15789176</v>
      </c>
      <c r="D10" s="20" t="s">
        <v>352</v>
      </c>
    </row>
    <row r="11" customFormat="false" ht="15" hidden="false" customHeight="false" outlineLevel="0" collapsed="false">
      <c r="B11" s="18" t="s">
        <v>353</v>
      </c>
      <c r="C11" s="23" t="n">
        <f aca="false">IF(C6&gt;0, C10/C6, 0)</f>
        <v>212.895420958956</v>
      </c>
      <c r="D11" s="20" t="s">
        <v>354</v>
      </c>
    </row>
    <row r="12" customFormat="false" ht="15" hidden="false" customHeight="false" outlineLevel="0" collapsed="false">
      <c r="B12" s="18" t="s">
        <v>355</v>
      </c>
      <c r="C12" s="19" t="n">
        <f aca="false">SUM('CLEAN DATA'!J2:J241)</f>
        <v>1974</v>
      </c>
      <c r="D12" s="20" t="s">
        <v>356</v>
      </c>
    </row>
    <row r="13" customFormat="false" ht="15" hidden="false" customHeight="false" outlineLevel="0" collapsed="false">
      <c r="B13" s="18" t="s">
        <v>357</v>
      </c>
      <c r="C13" s="21" t="n">
        <f aca="false">AVERAGE(E21:E32)</f>
        <v>0.95908427319041</v>
      </c>
      <c r="D13" s="20" t="s">
        <v>358</v>
      </c>
    </row>
    <row r="14" customFormat="false" ht="15" hidden="false" customHeight="false" outlineLevel="0" collapsed="false">
      <c r="B14" s="18" t="s">
        <v>359</v>
      </c>
      <c r="C14" s="24" t="n">
        <f aca="false">COUNTIF(E21:E32, "&gt;=1.0")</f>
        <v>0</v>
      </c>
      <c r="D14" s="20" t="s">
        <v>360</v>
      </c>
    </row>
    <row r="15" customFormat="false" ht="15" hidden="false" customHeight="false" outlineLevel="0" collapsed="false">
      <c r="B15" s="18" t="s">
        <v>361</v>
      </c>
      <c r="C15" s="24" t="n">
        <f aca="false">COUNTIF(E21:E32, "&lt;1.0")</f>
        <v>12</v>
      </c>
      <c r="D15" s="20" t="s">
        <v>362</v>
      </c>
    </row>
    <row r="18" customFormat="false" ht="16.15" hidden="false" customHeight="false" outlineLevel="0" collapsed="false">
      <c r="B18" s="25" t="s">
        <v>363</v>
      </c>
    </row>
    <row r="20" customFormat="false" ht="24.75" hidden="false" customHeight="true" outlineLevel="0" collapsed="false">
      <c r="B20" s="11" t="s">
        <v>18</v>
      </c>
      <c r="C20" s="11" t="s">
        <v>22</v>
      </c>
      <c r="D20" s="11" t="s">
        <v>23</v>
      </c>
      <c r="E20" s="11" t="s">
        <v>364</v>
      </c>
      <c r="F20" s="11" t="s">
        <v>24</v>
      </c>
      <c r="G20" s="11" t="s">
        <v>365</v>
      </c>
      <c r="H20" s="11" t="s">
        <v>25</v>
      </c>
      <c r="I20" s="11" t="s">
        <v>366</v>
      </c>
      <c r="J20" s="11" t="s">
        <v>26</v>
      </c>
      <c r="K20" s="11" t="s">
        <v>367</v>
      </c>
      <c r="L20" s="11" t="s">
        <v>368</v>
      </c>
    </row>
    <row r="21" customFormat="false" ht="15" hidden="false" customHeight="false" outlineLevel="0" collapsed="false">
      <c r="B21" s="26" t="s">
        <v>29</v>
      </c>
      <c r="C21" s="27" t="n">
        <f aca="false">SUMIFS('CLEAN DATA'!F:F, 'CLEAN DATA'!B:B, "2025-01")</f>
        <v>5848</v>
      </c>
      <c r="D21" s="27" t="n">
        <f aca="false">SUMIFS('CLEAN DATA'!G:G, 'CLEAN DATA'!B:B, "2025-01")</f>
        <v>5608</v>
      </c>
      <c r="E21" s="28" t="n">
        <f aca="false">IF(C21&gt;0, D21/C21, 0)</f>
        <v>0.958960328317373</v>
      </c>
      <c r="F21" s="27" t="n">
        <f aca="false">SUMIFS('CLEAN DATA'!H:H, 'CLEAN DATA'!B:B, "2025-01")</f>
        <v>374</v>
      </c>
      <c r="G21" s="28" t="n">
        <f aca="false">IF(D21&gt;0, F21/D21, 0)</f>
        <v>0.0666904422253923</v>
      </c>
      <c r="H21" s="29" t="n">
        <f aca="false">SUMIFS('CLEAN DATA'!I:I, 'CLEAN DATA'!B:B, "2025-01")</f>
        <v>1193214</v>
      </c>
      <c r="I21" s="30" t="n">
        <f aca="false">IF(D21&gt;0, H21/D21, 0)</f>
        <v>212.76997146933</v>
      </c>
      <c r="J21" s="27" t="n">
        <f aca="false">SUMIFS('CLEAN DATA'!J:J, 'CLEAN DATA'!B:B, "2025-01")</f>
        <v>139</v>
      </c>
      <c r="K21" s="8" t="s">
        <v>369</v>
      </c>
      <c r="L21" s="8" t="s">
        <v>369</v>
      </c>
    </row>
    <row r="22" customFormat="false" ht="15" hidden="false" customHeight="false" outlineLevel="0" collapsed="false">
      <c r="B22" s="26" t="s">
        <v>55</v>
      </c>
      <c r="C22" s="31" t="n">
        <f aca="false">SUMIFS('CLEAN DATA'!F:F, 'CLEAN DATA'!B:B, "2025-02")</f>
        <v>6053</v>
      </c>
      <c r="D22" s="31" t="n">
        <f aca="false">SUMIFS('CLEAN DATA'!G:G, 'CLEAN DATA'!B:B, "2025-02")</f>
        <v>5882</v>
      </c>
      <c r="E22" s="32" t="n">
        <f aca="false">IF(C22&gt;0, D22/C22, 0)</f>
        <v>0.971749545679828</v>
      </c>
      <c r="F22" s="31" t="n">
        <f aca="false">SUMIFS('CLEAN DATA'!H:H, 'CLEAN DATA'!B:B, "2025-02")</f>
        <v>400</v>
      </c>
      <c r="G22" s="32" t="n">
        <f aca="false">IF(D22&gt;0, F22/D22, 0)</f>
        <v>0.0680040802448147</v>
      </c>
      <c r="H22" s="33" t="n">
        <f aca="false">SUMIFS('CLEAN DATA'!I:I, 'CLEAN DATA'!B:B, "2025-02")</f>
        <v>1204827</v>
      </c>
      <c r="I22" s="34" t="n">
        <f aca="false">IF(D22&gt;0, H22/D22, 0)</f>
        <v>204.832879972798</v>
      </c>
      <c r="J22" s="31" t="n">
        <f aca="false">SUMIFS('CLEAN DATA'!J:J, 'CLEAN DATA'!B:B, "2025-02")</f>
        <v>157</v>
      </c>
      <c r="K22" s="32" t="n">
        <f aca="false">IF(D21&gt;0, (D22-D21)/D21, 0)</f>
        <v>0.0488587731811698</v>
      </c>
      <c r="L22" s="32" t="n">
        <f aca="false">IF(H21&gt;0, (H22-H21)/H21, 0)</f>
        <v>0.00973253749956001</v>
      </c>
    </row>
    <row r="23" customFormat="false" ht="15" hidden="false" customHeight="false" outlineLevel="0" collapsed="false">
      <c r="B23" s="26" t="s">
        <v>77</v>
      </c>
      <c r="C23" s="27" t="n">
        <f aca="false">SUMIFS('CLEAN DATA'!F:F, 'CLEAN DATA'!B:B, "2025-03")</f>
        <v>6430</v>
      </c>
      <c r="D23" s="27" t="n">
        <f aca="false">SUMIFS('CLEAN DATA'!G:G, 'CLEAN DATA'!B:B, "2025-03")</f>
        <v>6300</v>
      </c>
      <c r="E23" s="28" t="n">
        <f aca="false">IF(C23&gt;0, D23/C23, 0)</f>
        <v>0.979782270606532</v>
      </c>
      <c r="F23" s="27" t="n">
        <f aca="false">SUMIFS('CLEAN DATA'!H:H, 'CLEAN DATA'!B:B, "2025-03")</f>
        <v>403</v>
      </c>
      <c r="G23" s="28" t="n">
        <f aca="false">IF(D23&gt;0, F23/D23, 0)</f>
        <v>0.063968253968254</v>
      </c>
      <c r="H23" s="29" t="n">
        <f aca="false">SUMIFS('CLEAN DATA'!I:I, 'CLEAN DATA'!B:B, "2025-03")</f>
        <v>1239126</v>
      </c>
      <c r="I23" s="30" t="n">
        <f aca="false">IF(D23&gt;0, H23/D23, 0)</f>
        <v>196.686666666667</v>
      </c>
      <c r="J23" s="27" t="n">
        <f aca="false">SUMIFS('CLEAN DATA'!J:J, 'CLEAN DATA'!B:B, "2025-03")</f>
        <v>178</v>
      </c>
      <c r="K23" s="28" t="n">
        <f aca="false">IF(D22&gt;0, (D23-D22)/D22, 0)</f>
        <v>0.0710642638558314</v>
      </c>
      <c r="L23" s="28" t="n">
        <f aca="false">IF(H22&gt;0, (H23-H22)/H22, 0)</f>
        <v>0.0284679875202</v>
      </c>
    </row>
    <row r="24" customFormat="false" ht="15" hidden="false" customHeight="false" outlineLevel="0" collapsed="false">
      <c r="B24" s="26" t="s">
        <v>98</v>
      </c>
      <c r="C24" s="31" t="n">
        <f aca="false">SUMIFS('CLEAN DATA'!F:F, 'CLEAN DATA'!B:B, "2025-04")</f>
        <v>6555</v>
      </c>
      <c r="D24" s="31" t="n">
        <f aca="false">SUMIFS('CLEAN DATA'!G:G, 'CLEAN DATA'!B:B, "2025-04")</f>
        <v>6262</v>
      </c>
      <c r="E24" s="32" t="n">
        <f aca="false">IF(C24&gt;0, D24/C24, 0)</f>
        <v>0.955301296720061</v>
      </c>
      <c r="F24" s="31" t="n">
        <f aca="false">SUMIFS('CLEAN DATA'!H:H, 'CLEAN DATA'!B:B, "2025-04")</f>
        <v>455</v>
      </c>
      <c r="G24" s="32" t="n">
        <f aca="false">IF(D24&gt;0, F24/D24, 0)</f>
        <v>0.0726604918556372</v>
      </c>
      <c r="H24" s="33" t="n">
        <f aca="false">SUMIFS('CLEAN DATA'!I:I, 'CLEAN DATA'!B:B, "2025-04")</f>
        <v>1257472</v>
      </c>
      <c r="I24" s="34" t="n">
        <f aca="false">IF(D24&gt;0, H24/D24, 0)</f>
        <v>200.809964867454</v>
      </c>
      <c r="J24" s="31" t="n">
        <f aca="false">SUMIFS('CLEAN DATA'!J:J, 'CLEAN DATA'!B:B, "2025-04")</f>
        <v>166</v>
      </c>
      <c r="K24" s="32" t="n">
        <f aca="false">IF(D23&gt;0, (D24-D23)/D23, 0)</f>
        <v>-0.00603174603174603</v>
      </c>
      <c r="L24" s="32" t="n">
        <f aca="false">IF(H23&gt;0, (H24-H23)/H23, 0)</f>
        <v>0.014805596848101</v>
      </c>
    </row>
    <row r="25" customFormat="false" ht="15" hidden="false" customHeight="false" outlineLevel="0" collapsed="false">
      <c r="B25" s="26" t="s">
        <v>119</v>
      </c>
      <c r="C25" s="27" t="n">
        <f aca="false">SUMIFS('CLEAN DATA'!F:F, 'CLEAN DATA'!B:B, "2025-05")</f>
        <v>6611</v>
      </c>
      <c r="D25" s="27" t="n">
        <f aca="false">SUMIFS('CLEAN DATA'!G:G, 'CLEAN DATA'!B:B, "2025-05")</f>
        <v>6384</v>
      </c>
      <c r="E25" s="28" t="n">
        <f aca="false">IF(C25&gt;0, D25/C25, 0)</f>
        <v>0.96566328845863</v>
      </c>
      <c r="F25" s="27" t="n">
        <f aca="false">SUMIFS('CLEAN DATA'!H:H, 'CLEAN DATA'!B:B, "2025-05")</f>
        <v>447</v>
      </c>
      <c r="G25" s="28" t="n">
        <f aca="false">IF(D25&gt;0, F25/D25, 0)</f>
        <v>0.0700187969924812</v>
      </c>
      <c r="H25" s="29" t="n">
        <f aca="false">SUMIFS('CLEAN DATA'!I:I, 'CLEAN DATA'!B:B, "2025-05")</f>
        <v>1277226</v>
      </c>
      <c r="I25" s="30" t="n">
        <f aca="false">IF(D25&gt;0, H25/D25, 0)</f>
        <v>200.066729323308</v>
      </c>
      <c r="J25" s="27" t="n">
        <f aca="false">SUMIFS('CLEAN DATA'!J:J, 'CLEAN DATA'!B:B, "2025-05")</f>
        <v>161</v>
      </c>
      <c r="K25" s="28" t="n">
        <f aca="false">IF(D24&gt;0, (D25-D24)/D24, 0)</f>
        <v>0.0194825934206324</v>
      </c>
      <c r="L25" s="28" t="n">
        <f aca="false">IF(H24&gt;0, (H25-H24)/H24, 0)</f>
        <v>0.0157092961115635</v>
      </c>
    </row>
    <row r="26" customFormat="false" ht="15" hidden="false" customHeight="false" outlineLevel="0" collapsed="false">
      <c r="B26" s="26" t="s">
        <v>140</v>
      </c>
      <c r="C26" s="31" t="n">
        <f aca="false">SUMIFS('CLEAN DATA'!F:F, 'CLEAN DATA'!B:B, "2025-06")</f>
        <v>6662</v>
      </c>
      <c r="D26" s="31" t="n">
        <f aca="false">SUMIFS('CLEAN DATA'!G:G, 'CLEAN DATA'!B:B, "2025-06")</f>
        <v>6440</v>
      </c>
      <c r="E26" s="32" t="n">
        <f aca="false">IF(C26&gt;0, D26/C26, 0)</f>
        <v>0.96667667367157</v>
      </c>
      <c r="F26" s="31" t="n">
        <f aca="false">SUMIFS('CLEAN DATA'!H:H, 'CLEAN DATA'!B:B, "2025-06")</f>
        <v>420</v>
      </c>
      <c r="G26" s="32" t="n">
        <f aca="false">IF(D26&gt;0, F26/D26, 0)</f>
        <v>0.0652173913043478</v>
      </c>
      <c r="H26" s="33" t="n">
        <f aca="false">SUMIFS('CLEAN DATA'!I:I, 'CLEAN DATA'!B:B, "2025-06")</f>
        <v>1306680</v>
      </c>
      <c r="I26" s="34" t="n">
        <f aca="false">IF(D26&gt;0, H26/D26, 0)</f>
        <v>202.900621118012</v>
      </c>
      <c r="J26" s="31" t="n">
        <f aca="false">SUMIFS('CLEAN DATA'!J:J, 'CLEAN DATA'!B:B, "2025-06")</f>
        <v>156</v>
      </c>
      <c r="K26" s="32" t="n">
        <f aca="false">IF(D25&gt;0, (D26-D25)/D25, 0)</f>
        <v>0.0087719298245614</v>
      </c>
      <c r="L26" s="32" t="n">
        <f aca="false">IF(H25&gt;0, (H26-H25)/H25, 0)</f>
        <v>0.0230609148263502</v>
      </c>
    </row>
    <row r="27" customFormat="false" ht="15" hidden="false" customHeight="false" outlineLevel="0" collapsed="false">
      <c r="B27" s="26" t="s">
        <v>162</v>
      </c>
      <c r="C27" s="27" t="n">
        <f aca="false">SUMIFS('CLEAN DATA'!F:F, 'CLEAN DATA'!B:B, "2025-07")</f>
        <v>6685</v>
      </c>
      <c r="D27" s="27" t="n">
        <f aca="false">SUMIFS('CLEAN DATA'!G:G, 'CLEAN DATA'!B:B, "2025-07")</f>
        <v>6362</v>
      </c>
      <c r="E27" s="28" t="n">
        <f aca="false">IF(C27&gt;0, D27/C27, 0)</f>
        <v>0.95168287210172</v>
      </c>
      <c r="F27" s="27" t="n">
        <f aca="false">SUMIFS('CLEAN DATA'!H:H, 'CLEAN DATA'!B:B, "2025-07")</f>
        <v>480</v>
      </c>
      <c r="G27" s="28" t="n">
        <f aca="false">IF(D27&gt;0, F27/D27, 0)</f>
        <v>0.0754479723357435</v>
      </c>
      <c r="H27" s="29" t="n">
        <f aca="false">SUMIFS('CLEAN DATA'!I:I, 'CLEAN DATA'!B:B, "2025-07")</f>
        <v>1329870</v>
      </c>
      <c r="I27" s="30" t="n">
        <f aca="false">IF(D27&gt;0, H27/D27, 0)</f>
        <v>209.033322854448</v>
      </c>
      <c r="J27" s="27" t="n">
        <f aca="false">SUMIFS('CLEAN DATA'!J:J, 'CLEAN DATA'!B:B, "2025-07")</f>
        <v>173</v>
      </c>
      <c r="K27" s="28" t="n">
        <f aca="false">IF(D26&gt;0, (D27-D26)/D26, 0)</f>
        <v>-0.012111801242236</v>
      </c>
      <c r="L27" s="28" t="n">
        <f aca="false">IF(H26&gt;0, (H27-H26)/H26, 0)</f>
        <v>0.0177472678850216</v>
      </c>
    </row>
    <row r="28" customFormat="false" ht="15" hidden="false" customHeight="false" outlineLevel="0" collapsed="false">
      <c r="B28" s="26" t="s">
        <v>183</v>
      </c>
      <c r="C28" s="31" t="n">
        <f aca="false">SUMIFS('CLEAN DATA'!F:F, 'CLEAN DATA'!B:B, "2025-08")</f>
        <v>6598</v>
      </c>
      <c r="D28" s="31" t="n">
        <f aca="false">SUMIFS('CLEAN DATA'!G:G, 'CLEAN DATA'!B:B, "2025-08")</f>
        <v>6275</v>
      </c>
      <c r="E28" s="32" t="n">
        <f aca="false">IF(C28&gt;0, D28/C28, 0)</f>
        <v>0.951045771445893</v>
      </c>
      <c r="F28" s="31" t="n">
        <f aca="false">SUMIFS('CLEAN DATA'!H:H, 'CLEAN DATA'!B:B, "2025-08")</f>
        <v>518</v>
      </c>
      <c r="G28" s="32" t="n">
        <f aca="false">IF(D28&gt;0, F28/D28, 0)</f>
        <v>0.0825498007968128</v>
      </c>
      <c r="H28" s="33" t="n">
        <f aca="false">SUMIFS('CLEAN DATA'!I:I, 'CLEAN DATA'!B:B, "2025-08")</f>
        <v>1353859</v>
      </c>
      <c r="I28" s="34" t="n">
        <f aca="false">IF(D28&gt;0, H28/D28, 0)</f>
        <v>215.754422310757</v>
      </c>
      <c r="J28" s="31" t="n">
        <f aca="false">SUMIFS('CLEAN DATA'!J:J, 'CLEAN DATA'!B:B, "2025-08")</f>
        <v>154</v>
      </c>
      <c r="K28" s="32" t="n">
        <f aca="false">IF(D27&gt;0, (D28-D27)/D27, 0)</f>
        <v>-0.0136749449858535</v>
      </c>
      <c r="L28" s="32" t="n">
        <f aca="false">IF(H27&gt;0, (H28-H27)/H27, 0)</f>
        <v>0.0180386052772075</v>
      </c>
    </row>
    <row r="29" customFormat="false" ht="15" hidden="false" customHeight="false" outlineLevel="0" collapsed="false">
      <c r="B29" s="26" t="s">
        <v>204</v>
      </c>
      <c r="C29" s="27" t="n">
        <f aca="false">SUMIFS('CLEAN DATA'!F:F, 'CLEAN DATA'!B:B, "2025-09")</f>
        <v>6453</v>
      </c>
      <c r="D29" s="27" t="n">
        <f aca="false">SUMIFS('CLEAN DATA'!G:G, 'CLEAN DATA'!B:B, "2025-09")</f>
        <v>6108</v>
      </c>
      <c r="E29" s="28" t="n">
        <f aca="false">IF(C29&gt;0, D29/C29, 0)</f>
        <v>0.946536494653649</v>
      </c>
      <c r="F29" s="27" t="n">
        <f aca="false">SUMIFS('CLEAN DATA'!H:H, 'CLEAN DATA'!B:B, "2025-09")</f>
        <v>481</v>
      </c>
      <c r="G29" s="28" t="n">
        <f aca="false">IF(D29&gt;0, F29/D29, 0)</f>
        <v>0.0787491814014407</v>
      </c>
      <c r="H29" s="29" t="n">
        <f aca="false">SUMIFS('CLEAN DATA'!I:I, 'CLEAN DATA'!B:B, "2025-09")</f>
        <v>1382500</v>
      </c>
      <c r="I29" s="30" t="n">
        <f aca="false">IF(D29&gt;0, H29/D29, 0)</f>
        <v>226.342501637197</v>
      </c>
      <c r="J29" s="27" t="n">
        <f aca="false">SUMIFS('CLEAN DATA'!J:J, 'CLEAN DATA'!B:B, "2025-09")</f>
        <v>171</v>
      </c>
      <c r="K29" s="28" t="n">
        <f aca="false">IF(D28&gt;0, (D29-D28)/D28, 0)</f>
        <v>-0.0266135458167331</v>
      </c>
      <c r="L29" s="28" t="n">
        <f aca="false">IF(H28&gt;0, (H29-H28)/H28, 0)</f>
        <v>0.0211550833580159</v>
      </c>
    </row>
    <row r="30" customFormat="false" ht="15" hidden="false" customHeight="false" outlineLevel="0" collapsed="false">
      <c r="B30" s="26" t="s">
        <v>227</v>
      </c>
      <c r="C30" s="31" t="n">
        <f aca="false">SUMIFS('CLEAN DATA'!F:F, 'CLEAN DATA'!B:B, "2025-10")</f>
        <v>6949</v>
      </c>
      <c r="D30" s="31" t="n">
        <f aca="false">SUMIFS('CLEAN DATA'!G:G, 'CLEAN DATA'!B:B, "2025-10")</f>
        <v>6626</v>
      </c>
      <c r="E30" s="32" t="n">
        <f aca="false">IF(C30&gt;0, D30/C30, 0)</f>
        <v>0.953518491869334</v>
      </c>
      <c r="F30" s="31" t="n">
        <f aca="false">SUMIFS('CLEAN DATA'!H:H, 'CLEAN DATA'!B:B, "2025-10")</f>
        <v>430</v>
      </c>
      <c r="G30" s="32" t="n">
        <f aca="false">IF(D30&gt;0, F30/D30, 0)</f>
        <v>0.0648958647751283</v>
      </c>
      <c r="H30" s="33" t="n">
        <f aca="false">SUMIFS('CLEAN DATA'!I:I, 'CLEAN DATA'!B:B, "2025-10")</f>
        <v>1390287</v>
      </c>
      <c r="I30" s="34" t="n">
        <f aca="false">IF(D30&gt;0, H30/D30, 0)</f>
        <v>209.822970117718</v>
      </c>
      <c r="J30" s="31" t="n">
        <f aca="false">SUMIFS('CLEAN DATA'!J:J, 'CLEAN DATA'!B:B, "2025-10")</f>
        <v>203</v>
      </c>
      <c r="K30" s="32" t="n">
        <f aca="false">IF(D29&gt;0, (D30-D29)/D29, 0)</f>
        <v>0.0848068107400131</v>
      </c>
      <c r="L30" s="32" t="n">
        <f aca="false">IF(H29&gt;0, (H30-H29)/H29, 0)</f>
        <v>0.00563254972875226</v>
      </c>
    </row>
    <row r="31" customFormat="false" ht="15" hidden="false" customHeight="false" outlineLevel="0" collapsed="false">
      <c r="B31" s="26" t="s">
        <v>248</v>
      </c>
      <c r="C31" s="27" t="n">
        <f aca="false">SUMIFS('CLEAN DATA'!F:F, 'CLEAN DATA'!B:B, "2025-11")</f>
        <v>6638</v>
      </c>
      <c r="D31" s="27" t="n">
        <f aca="false">SUMIFS('CLEAN DATA'!G:G, 'CLEAN DATA'!B:B, "2025-11")</f>
        <v>6341</v>
      </c>
      <c r="E31" s="28" t="n">
        <f aca="false">IF(C31&gt;0, D31/C31, 0)</f>
        <v>0.955257607713167</v>
      </c>
      <c r="F31" s="27" t="n">
        <f aca="false">SUMIFS('CLEAN DATA'!H:H, 'CLEAN DATA'!B:B, "2025-11")</f>
        <v>424</v>
      </c>
      <c r="G31" s="28" t="n">
        <f aca="false">IF(D31&gt;0, F31/D31, 0)</f>
        <v>0.066866424854124</v>
      </c>
      <c r="H31" s="29" t="n">
        <f aca="false">SUMIFS('CLEAN DATA'!I:I, 'CLEAN DATA'!B:B, "2025-11")</f>
        <v>1414055</v>
      </c>
      <c r="I31" s="30" t="n">
        <f aca="false">IF(D31&gt;0, H31/D31, 0)</f>
        <v>223.001892445986</v>
      </c>
      <c r="J31" s="27" t="n">
        <f aca="false">SUMIFS('CLEAN DATA'!J:J, 'CLEAN DATA'!B:B, "2025-11")</f>
        <v>166</v>
      </c>
      <c r="K31" s="28" t="n">
        <f aca="false">IF(D30&gt;0, (D31-D30)/D30, 0)</f>
        <v>-0.043012375490492</v>
      </c>
      <c r="L31" s="28" t="n">
        <f aca="false">IF(H30&gt;0, (H31-H30)/H30, 0)</f>
        <v>0.0170957507334816</v>
      </c>
    </row>
    <row r="32" customFormat="false" ht="15" hidden="false" customHeight="false" outlineLevel="0" collapsed="false">
      <c r="B32" s="26" t="s">
        <v>269</v>
      </c>
      <c r="C32" s="31" t="n">
        <f aca="false">SUMIFS('CLEAN DATA'!F:F, 'CLEAN DATA'!B:B, "2025-12")</f>
        <v>5852</v>
      </c>
      <c r="D32" s="31" t="n">
        <f aca="false">SUMIFS('CLEAN DATA'!G:G, 'CLEAN DATA'!B:B, "2025-12")</f>
        <v>5576</v>
      </c>
      <c r="E32" s="32" t="n">
        <f aca="false">IF(C32&gt;0, D32/C32, 0)</f>
        <v>0.952836637047163</v>
      </c>
      <c r="F32" s="31" t="n">
        <f aca="false">SUMIFS('CLEAN DATA'!H:H, 'CLEAN DATA'!B:B, "2025-12")</f>
        <v>375</v>
      </c>
      <c r="G32" s="32" t="n">
        <f aca="false">IF(D32&gt;0, F32/D32, 0)</f>
        <v>0.0672525107604017</v>
      </c>
      <c r="H32" s="33" t="n">
        <f aca="false">SUMIFS('CLEAN DATA'!I:I, 'CLEAN DATA'!B:B, "2025-12")</f>
        <v>1440060</v>
      </c>
      <c r="I32" s="34" t="n">
        <f aca="false">IF(D32&gt;0, H32/D32, 0)</f>
        <v>258.260401721664</v>
      </c>
      <c r="J32" s="31" t="n">
        <f aca="false">SUMIFS('CLEAN DATA'!J:J, 'CLEAN DATA'!B:B, "2025-12")</f>
        <v>150</v>
      </c>
      <c r="K32" s="32" t="n">
        <f aca="false">IF(D31&gt;0, (D32-D31)/D31, 0)</f>
        <v>-0.120643431635389</v>
      </c>
      <c r="L32" s="32" t="n">
        <f aca="false">IF(H31&gt;0, (H32-H31)/H31, 0)</f>
        <v>0.018390373783198</v>
      </c>
    </row>
    <row r="35" customFormat="false" ht="16.15" hidden="false" customHeight="false" outlineLevel="0" collapsed="false">
      <c r="B35" s="25" t="s">
        <v>370</v>
      </c>
    </row>
    <row r="37" customFormat="false" ht="24.75" hidden="false" customHeight="true" outlineLevel="0" collapsed="false">
      <c r="B37" s="11" t="s">
        <v>19</v>
      </c>
      <c r="C37" s="11" t="s">
        <v>22</v>
      </c>
      <c r="D37" s="11" t="s">
        <v>23</v>
      </c>
      <c r="E37" s="11" t="s">
        <v>364</v>
      </c>
      <c r="F37" s="11" t="s">
        <v>24</v>
      </c>
      <c r="G37" s="11" t="s">
        <v>365</v>
      </c>
      <c r="H37" s="11" t="s">
        <v>25</v>
      </c>
      <c r="I37" s="11" t="s">
        <v>366</v>
      </c>
      <c r="J37" s="11" t="s">
        <v>26</v>
      </c>
      <c r="K37" s="11" t="s">
        <v>371</v>
      </c>
      <c r="L37" s="11" t="s">
        <v>372</v>
      </c>
      <c r="M37" s="11" t="s">
        <v>373</v>
      </c>
    </row>
    <row r="38" customFormat="false" ht="15" hidden="false" customHeight="false" outlineLevel="0" collapsed="false">
      <c r="B38" s="18" t="s">
        <v>30</v>
      </c>
      <c r="C38" s="35" t="n">
        <f aca="false">SUMIFS('CLEAN DATA'!F:F, 'CLEAN DATA'!C:C, "Customer Operations")</f>
        <v>16066</v>
      </c>
      <c r="D38" s="35" t="n">
        <f aca="false">SUMIFS('CLEAN DATA'!G:G, 'CLEAN DATA'!C:C, "Customer Operations")</f>
        <v>15281</v>
      </c>
      <c r="E38" s="36" t="n">
        <f aca="false">IF(C38&gt;0, D38/C38, 0)</f>
        <v>0.951139051412922</v>
      </c>
      <c r="F38" s="35" t="n">
        <f aca="false">SUMIFS('CLEAN DATA'!H:H, 'CLEAN DATA'!C:C, "Customer Operations")</f>
        <v>1200</v>
      </c>
      <c r="G38" s="36" t="n">
        <f aca="false">IF(D38&gt;0, F38/D38, 0)</f>
        <v>0.0785288920882141</v>
      </c>
      <c r="H38" s="37" t="n">
        <f aca="false">SUMIFS('CLEAN DATA'!I:I, 'CLEAN DATA'!C:C, "Customer Operations")</f>
        <v>3758222</v>
      </c>
      <c r="I38" s="38" t="n">
        <f aca="false">IF(D38&gt;0, H38/D38, 0)</f>
        <v>245.94084156796</v>
      </c>
      <c r="J38" s="35" t="n">
        <f aca="false">SUMIFS('CLEAN DATA'!J:J, 'CLEAN DATA'!C:C, "Customer Operations")</f>
        <v>490</v>
      </c>
      <c r="K38" s="39" t="n">
        <f aca="false">AVERAGEIFS('CLEAN DATA'!D:D, 'CLEAN DATA'!C:C, "Customer Operations")</f>
        <v>16.0333333333333</v>
      </c>
      <c r="L38" s="40" t="n">
        <f aca="false">IF(K38&gt;0, D38/(K38*254*5), 0)</f>
        <v>0.750454270139309</v>
      </c>
      <c r="M38" s="41" t="s">
        <v>374</v>
      </c>
    </row>
    <row r="39" customFormat="false" ht="15" hidden="false" customHeight="false" outlineLevel="0" collapsed="false">
      <c r="B39" s="18" t="s">
        <v>37</v>
      </c>
      <c r="C39" s="42" t="n">
        <f aca="false">SUMIFS('CLEAN DATA'!F:F, 'CLEAN DATA'!C:C, "Order Processing")</f>
        <v>28765</v>
      </c>
      <c r="D39" s="42" t="n">
        <f aca="false">SUMIFS('CLEAN DATA'!G:G, 'CLEAN DATA'!C:C, "Order Processing")</f>
        <v>27811</v>
      </c>
      <c r="E39" s="43" t="n">
        <f aca="false">IF(C39&gt;0, D39/C39, 0)</f>
        <v>0.96683469494177</v>
      </c>
      <c r="F39" s="42" t="n">
        <f aca="false">SUMIFS('CLEAN DATA'!H:H, 'CLEAN DATA'!C:C, "Order Processing")</f>
        <v>1404</v>
      </c>
      <c r="G39" s="43" t="n">
        <f aca="false">IF(D39&gt;0, F39/D39, 0)</f>
        <v>0.0504836215885801</v>
      </c>
      <c r="H39" s="44" t="n">
        <f aca="false">SUMIFS('CLEAN DATA'!I:I, 'CLEAN DATA'!C:C, "Order Processing")</f>
        <v>4697591</v>
      </c>
      <c r="I39" s="45" t="n">
        <f aca="false">IF(D39&gt;0, H39/D39, 0)</f>
        <v>168.91125813527</v>
      </c>
      <c r="J39" s="42" t="n">
        <f aca="false">SUMIFS('CLEAN DATA'!J:J, 'CLEAN DATA'!C:C, "Order Processing")</f>
        <v>383</v>
      </c>
      <c r="K39" s="46" t="n">
        <f aca="false">AVERAGEIFS('CLEAN DATA'!D:D, 'CLEAN DATA'!C:C, "Order Processing")</f>
        <v>20.7966101694915</v>
      </c>
      <c r="L39" s="47" t="n">
        <f aca="false">IF(K39&gt;0, D39/(K39*254*5), 0)</f>
        <v>1.052980510688</v>
      </c>
      <c r="M39" s="41" t="s">
        <v>374</v>
      </c>
    </row>
    <row r="40" customFormat="false" ht="15" hidden="false" customHeight="false" outlineLevel="0" collapsed="false">
      <c r="B40" s="18" t="s">
        <v>43</v>
      </c>
      <c r="C40" s="35" t="n">
        <f aca="false">SUMIFS('CLEAN DATA'!F:F, 'CLEAN DATA'!C:C, "Service Delivery")</f>
        <v>12484</v>
      </c>
      <c r="D40" s="35" t="n">
        <f aca="false">SUMIFS('CLEAN DATA'!G:G, 'CLEAN DATA'!C:C, "Service Delivery")</f>
        <v>11754</v>
      </c>
      <c r="E40" s="36" t="n">
        <f aca="false">IF(C40&gt;0, D40/C40, 0)</f>
        <v>0.941525152194809</v>
      </c>
      <c r="F40" s="35" t="n">
        <f aca="false">SUMIFS('CLEAN DATA'!H:H, 'CLEAN DATA'!C:C, "Service Delivery")</f>
        <v>1844</v>
      </c>
      <c r="G40" s="36" t="n">
        <f aca="false">IF(D40&gt;0, F40/D40, 0)</f>
        <v>0.156882763314616</v>
      </c>
      <c r="H40" s="37" t="n">
        <f aca="false">SUMIFS('CLEAN DATA'!I:I, 'CLEAN DATA'!C:C, "Service Delivery")</f>
        <v>4530631</v>
      </c>
      <c r="I40" s="38" t="n">
        <f aca="false">IF(D40&gt;0, H40/D40, 0)</f>
        <v>385.454398502637</v>
      </c>
      <c r="J40" s="35" t="n">
        <f aca="false">SUMIFS('CLEAN DATA'!J:J, 'CLEAN DATA'!C:C, "Service Delivery")</f>
        <v>971</v>
      </c>
      <c r="K40" s="39" t="n">
        <f aca="false">AVERAGEIFS('CLEAN DATA'!D:D, 'CLEAN DATA'!C:C, "Service Delivery")</f>
        <v>14.0491803278689</v>
      </c>
      <c r="L40" s="40" t="n">
        <f aca="false">IF(K40&gt;0, D40/(K40*254*5), 0)</f>
        <v>0.65876569979511</v>
      </c>
      <c r="M40" s="48" t="s">
        <v>375</v>
      </c>
    </row>
    <row r="41" customFormat="false" ht="15" hidden="false" customHeight="false" outlineLevel="0" collapsed="false">
      <c r="B41" s="18" t="s">
        <v>49</v>
      </c>
      <c r="C41" s="42" t="n">
        <f aca="false">SUMIFS('CLEAN DATA'!F:F, 'CLEAN DATA'!C:C, "Quality Assurance")</f>
        <v>20019</v>
      </c>
      <c r="D41" s="42" t="n">
        <f aca="false">SUMIFS('CLEAN DATA'!G:G, 'CLEAN DATA'!C:C, "Quality Assurance")</f>
        <v>19318</v>
      </c>
      <c r="E41" s="43" t="n">
        <f aca="false">IF(C41&gt;0, D41/C41, 0)</f>
        <v>0.964983265897398</v>
      </c>
      <c r="F41" s="42" t="n">
        <f aca="false">SUMIFS('CLEAN DATA'!H:H, 'CLEAN DATA'!C:C, "Quality Assurance")</f>
        <v>759</v>
      </c>
      <c r="G41" s="43" t="n">
        <f aca="false">IF(D41&gt;0, F41/D41, 0)</f>
        <v>0.0392897815508852</v>
      </c>
      <c r="H41" s="44" t="n">
        <f aca="false">SUMIFS('CLEAN DATA'!I:I, 'CLEAN DATA'!C:C, "Quality Assurance")</f>
        <v>2802732</v>
      </c>
      <c r="I41" s="45" t="n">
        <f aca="false">IF(D41&gt;0, H41/D41, 0)</f>
        <v>145.083963143183</v>
      </c>
      <c r="J41" s="42" t="n">
        <f aca="false">SUMIFS('CLEAN DATA'!J:J, 'CLEAN DATA'!C:C, "Quality Assurance")</f>
        <v>130</v>
      </c>
      <c r="K41" s="46" t="n">
        <f aca="false">AVERAGEIFS('CLEAN DATA'!D:D, 'CLEAN DATA'!C:C, "Quality Assurance")</f>
        <v>9.86666666666667</v>
      </c>
      <c r="L41" s="47" t="n">
        <f aca="false">IF(K41&gt;0, D41/(K41*254*5), 0)</f>
        <v>1.54165779953182</v>
      </c>
      <c r="M41" s="49" t="s">
        <v>376</v>
      </c>
    </row>
  </sheetData>
  <mergeCells count="1">
    <mergeCell ref="B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P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6" min="2" style="0" width="13"/>
  </cols>
  <sheetData>
    <row r="2" customFormat="false" ht="39.75" hidden="false" customHeight="true" outlineLevel="0" collapsed="false">
      <c r="B2" s="1" t="s">
        <v>377</v>
      </c>
      <c r="C2" s="1"/>
      <c r="D2" s="1"/>
      <c r="E2" s="1"/>
      <c r="F2" s="1"/>
      <c r="G2" s="1"/>
      <c r="H2" s="1"/>
      <c r="I2" s="1"/>
      <c r="J2" s="1"/>
      <c r="K2" s="1"/>
      <c r="L2" s="1"/>
      <c r="M2" s="1"/>
      <c r="N2" s="1"/>
      <c r="O2" s="1"/>
      <c r="P2" s="1"/>
    </row>
    <row r="3" customFormat="false" ht="18" hidden="false" customHeight="true" outlineLevel="0" collapsed="false">
      <c r="B3" s="50" t="s">
        <v>378</v>
      </c>
      <c r="C3" s="50"/>
      <c r="D3" s="50"/>
      <c r="E3" s="50"/>
      <c r="F3" s="50"/>
      <c r="G3" s="50"/>
      <c r="H3" s="50"/>
      <c r="I3" s="50"/>
      <c r="J3" s="50"/>
      <c r="K3" s="50"/>
      <c r="L3" s="50"/>
      <c r="M3" s="50"/>
      <c r="N3" s="50"/>
      <c r="O3" s="50"/>
      <c r="P3" s="50"/>
    </row>
    <row r="5" customFormat="false" ht="18" hidden="false" customHeight="true" outlineLevel="0" collapsed="false">
      <c r="B5" s="51" t="s">
        <v>379</v>
      </c>
      <c r="C5" s="51"/>
      <c r="D5" s="51" t="s">
        <v>380</v>
      </c>
      <c r="E5" s="51"/>
      <c r="F5" s="51" t="s">
        <v>381</v>
      </c>
      <c r="G5" s="51"/>
      <c r="H5" s="51" t="s">
        <v>382</v>
      </c>
      <c r="I5" s="51"/>
      <c r="J5" s="51" t="s">
        <v>383</v>
      </c>
      <c r="K5" s="51"/>
      <c r="L5" s="51" t="s">
        <v>384</v>
      </c>
      <c r="M5" s="51"/>
      <c r="N5" s="51" t="s">
        <v>385</v>
      </c>
      <c r="O5" s="51"/>
    </row>
    <row r="6" customFormat="false" ht="19.5" hidden="false" customHeight="true" outlineLevel="0" collapsed="false">
      <c r="B6" s="52" t="n">
        <f aca="false">'KPI ANALYSIS'!C5</f>
        <v>77334</v>
      </c>
      <c r="C6" s="52"/>
      <c r="D6" s="52" t="n">
        <f aca="false">'KPI ANALYSIS'!C6</f>
        <v>74164</v>
      </c>
      <c r="E6" s="52"/>
      <c r="F6" s="53" t="n">
        <f aca="false">'KPI ANALYSIS'!C7</f>
        <v>0.959008974060568</v>
      </c>
      <c r="G6" s="53"/>
      <c r="H6" s="52" t="n">
        <f aca="false">'KPI ANALYSIS'!C8</f>
        <v>5207</v>
      </c>
      <c r="I6" s="52"/>
      <c r="J6" s="54" t="n">
        <f aca="false">'KPI ANALYSIS'!C10</f>
        <v>15789176</v>
      </c>
      <c r="K6" s="54"/>
      <c r="L6" s="55" t="n">
        <f aca="false">'KPI ANALYSIS'!C11</f>
        <v>212.895420958956</v>
      </c>
      <c r="M6" s="55"/>
      <c r="N6" s="52" t="n">
        <f aca="false">'KPI ANALYSIS'!C12</f>
        <v>1974</v>
      </c>
      <c r="O6" s="52"/>
    </row>
    <row r="7" customFormat="false" ht="19.5" hidden="false" customHeight="true" outlineLevel="0" collapsed="false">
      <c r="B7" s="52"/>
      <c r="C7" s="52"/>
      <c r="D7" s="52"/>
      <c r="E7" s="52"/>
      <c r="F7" s="53"/>
      <c r="G7" s="53"/>
      <c r="H7" s="52"/>
      <c r="I7" s="52"/>
      <c r="J7" s="54"/>
      <c r="K7" s="54"/>
      <c r="L7" s="55"/>
      <c r="M7" s="55"/>
      <c r="N7" s="52"/>
      <c r="O7" s="52"/>
    </row>
  </sheetData>
  <mergeCells count="16">
    <mergeCell ref="B2:P2"/>
    <mergeCell ref="B3:P3"/>
    <mergeCell ref="B5:C5"/>
    <mergeCell ref="D5:E5"/>
    <mergeCell ref="F5:G5"/>
    <mergeCell ref="H5:I5"/>
    <mergeCell ref="J5:K5"/>
    <mergeCell ref="L5:M5"/>
    <mergeCell ref="N5:O5"/>
    <mergeCell ref="B6:C7"/>
    <mergeCell ref="D6:E7"/>
    <mergeCell ref="F6:G7"/>
    <mergeCell ref="H6:I7"/>
    <mergeCell ref="J6:K7"/>
    <mergeCell ref="L6:M7"/>
    <mergeCell ref="N6:O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14"/>
    <col collapsed="false" customWidth="true" hidden="false" outlineLevel="0" max="3" min="3" style="0" width="25"/>
    <col collapsed="false" customWidth="true" hidden="false" outlineLevel="0" max="4" min="4" style="0" width="32"/>
    <col collapsed="false" customWidth="true" hidden="false" outlineLevel="0" max="5" min="5" style="0" width="30"/>
    <col collapsed="false" customWidth="true" hidden="false" outlineLevel="0" max="6" min="6" style="0" width="28"/>
    <col collapsed="false" customWidth="true" hidden="false" outlineLevel="0" max="7" min="7" style="0" width="32"/>
  </cols>
  <sheetData>
    <row r="2" customFormat="false" ht="34.5" hidden="false" customHeight="true" outlineLevel="0" collapsed="false">
      <c r="B2" s="1" t="s">
        <v>386</v>
      </c>
      <c r="C2" s="1"/>
      <c r="D2" s="1"/>
      <c r="E2" s="1"/>
      <c r="F2" s="1"/>
      <c r="G2" s="1"/>
      <c r="H2" s="1"/>
    </row>
    <row r="4" customFormat="false" ht="27.75" hidden="false" customHeight="true" outlineLevel="0" collapsed="false">
      <c r="B4" s="11" t="s">
        <v>387</v>
      </c>
      <c r="C4" s="11" t="s">
        <v>388</v>
      </c>
      <c r="D4" s="11" t="s">
        <v>389</v>
      </c>
      <c r="E4" s="11" t="s">
        <v>390</v>
      </c>
      <c r="F4" s="11" t="s">
        <v>391</v>
      </c>
      <c r="G4" s="11" t="s">
        <v>392</v>
      </c>
    </row>
    <row r="5" customFormat="false" ht="54.75" hidden="false" customHeight="true" outlineLevel="0" collapsed="false">
      <c r="B5" s="56" t="s">
        <v>393</v>
      </c>
      <c r="C5" s="12" t="s">
        <v>394</v>
      </c>
      <c r="D5" s="12" t="s">
        <v>395</v>
      </c>
      <c r="E5" s="12" t="s">
        <v>396</v>
      </c>
      <c r="F5" s="12" t="s">
        <v>397</v>
      </c>
      <c r="G5" s="12" t="s">
        <v>398</v>
      </c>
    </row>
    <row r="6" customFormat="false" ht="54.75" hidden="false" customHeight="true" outlineLevel="0" collapsed="false">
      <c r="B6" s="57" t="s">
        <v>399</v>
      </c>
      <c r="C6" s="13" t="s">
        <v>400</v>
      </c>
      <c r="D6" s="13" t="s">
        <v>401</v>
      </c>
      <c r="E6" s="13" t="s">
        <v>402</v>
      </c>
      <c r="F6" s="13" t="s">
        <v>403</v>
      </c>
      <c r="G6" s="13" t="s">
        <v>404</v>
      </c>
    </row>
    <row r="7" customFormat="false" ht="54.75" hidden="false" customHeight="true" outlineLevel="0" collapsed="false">
      <c r="B7" s="56" t="s">
        <v>405</v>
      </c>
      <c r="C7" s="12" t="s">
        <v>406</v>
      </c>
      <c r="D7" s="12" t="s">
        <v>407</v>
      </c>
      <c r="E7" s="12" t="s">
        <v>408</v>
      </c>
      <c r="F7" s="12" t="s">
        <v>409</v>
      </c>
      <c r="G7" s="12" t="s">
        <v>410</v>
      </c>
    </row>
    <row r="8" customFormat="false" ht="54.75" hidden="false" customHeight="true" outlineLevel="0" collapsed="false">
      <c r="B8" s="57" t="s">
        <v>411</v>
      </c>
      <c r="C8" s="13" t="s">
        <v>412</v>
      </c>
      <c r="D8" s="13" t="s">
        <v>413</v>
      </c>
      <c r="E8" s="13" t="s">
        <v>414</v>
      </c>
      <c r="F8" s="13" t="s">
        <v>415</v>
      </c>
      <c r="G8" s="13" t="s">
        <v>416</v>
      </c>
    </row>
    <row r="9" customFormat="false" ht="54.75" hidden="false" customHeight="true" outlineLevel="0" collapsed="false">
      <c r="B9" s="56" t="s">
        <v>417</v>
      </c>
      <c r="C9" s="12" t="s">
        <v>418</v>
      </c>
      <c r="D9" s="12" t="s">
        <v>419</v>
      </c>
      <c r="E9" s="12" t="s">
        <v>420</v>
      </c>
      <c r="F9" s="12" t="s">
        <v>421</v>
      </c>
      <c r="G9" s="12" t="s">
        <v>422</v>
      </c>
    </row>
    <row r="10" customFormat="false" ht="54.75" hidden="false" customHeight="true" outlineLevel="0" collapsed="false">
      <c r="B10" s="57" t="s">
        <v>423</v>
      </c>
      <c r="C10" s="13" t="s">
        <v>424</v>
      </c>
      <c r="D10" s="13" t="s">
        <v>425</v>
      </c>
      <c r="E10" s="13" t="s">
        <v>426</v>
      </c>
      <c r="F10" s="13" t="s">
        <v>427</v>
      </c>
      <c r="G10" s="13" t="s">
        <v>428</v>
      </c>
    </row>
    <row r="11" customFormat="false" ht="54.75" hidden="false" customHeight="true" outlineLevel="0" collapsed="false">
      <c r="B11" s="56" t="s">
        <v>429</v>
      </c>
      <c r="C11" s="12" t="s">
        <v>430</v>
      </c>
      <c r="D11" s="12" t="s">
        <v>431</v>
      </c>
      <c r="E11" s="12" t="s">
        <v>432</v>
      </c>
      <c r="F11" s="12" t="s">
        <v>433</v>
      </c>
      <c r="G11" s="12" t="s">
        <v>434</v>
      </c>
    </row>
    <row r="12" customFormat="false" ht="54.75" hidden="false" customHeight="true" outlineLevel="0" collapsed="false">
      <c r="B12" s="57" t="s">
        <v>435</v>
      </c>
      <c r="C12" s="13" t="s">
        <v>436</v>
      </c>
      <c r="D12" s="13" t="s">
        <v>437</v>
      </c>
      <c r="E12" s="13" t="s">
        <v>438</v>
      </c>
      <c r="F12" s="13" t="s">
        <v>439</v>
      </c>
      <c r="G12" s="13" t="s">
        <v>440</v>
      </c>
    </row>
    <row r="13" customFormat="false" ht="54.75" hidden="false" customHeight="true" outlineLevel="0" collapsed="false">
      <c r="B13" s="56" t="s">
        <v>441</v>
      </c>
      <c r="C13" s="12" t="s">
        <v>442</v>
      </c>
      <c r="D13" s="12" t="s">
        <v>443</v>
      </c>
      <c r="E13" s="12" t="s">
        <v>444</v>
      </c>
      <c r="F13" s="12" t="s">
        <v>445</v>
      </c>
      <c r="G13" s="12" t="s">
        <v>446</v>
      </c>
    </row>
    <row r="14" customFormat="false" ht="54.75" hidden="false" customHeight="true" outlineLevel="0" collapsed="false">
      <c r="B14" s="57" t="s">
        <v>447</v>
      </c>
      <c r="C14" s="13" t="s">
        <v>448</v>
      </c>
      <c r="D14" s="13" t="s">
        <v>449</v>
      </c>
      <c r="E14" s="13" t="s">
        <v>450</v>
      </c>
      <c r="F14" s="13" t="s">
        <v>451</v>
      </c>
      <c r="G14" s="13" t="s">
        <v>452</v>
      </c>
    </row>
  </sheetData>
  <mergeCells count="1">
    <mergeCell ref="B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28"/>
    <col collapsed="false" customWidth="true" hidden="false" outlineLevel="0" max="4" min="4" style="0" width="34"/>
    <col collapsed="false" customWidth="true" hidden="false" outlineLevel="0" max="5" min="5" style="0" width="22"/>
    <col collapsed="false" customWidth="true" hidden="false" outlineLevel="0" max="6" min="6" style="0" width="14"/>
    <col collapsed="false" customWidth="true" hidden="false" outlineLevel="0" max="7" min="7" style="0" width="28"/>
    <col collapsed="false" customWidth="true" hidden="false" outlineLevel="0" max="8" min="8" style="0" width="24"/>
    <col collapsed="false" customWidth="true" hidden="false" outlineLevel="0" max="9" min="9" style="0" width="18"/>
    <col collapsed="false" customWidth="true" hidden="false" outlineLevel="0" max="10" min="10" style="0" width="30"/>
  </cols>
  <sheetData>
    <row r="2" customFormat="false" ht="34.5" hidden="false" customHeight="true" outlineLevel="0" collapsed="false">
      <c r="B2" s="1" t="s">
        <v>453</v>
      </c>
      <c r="C2" s="1"/>
      <c r="D2" s="1"/>
      <c r="E2" s="1"/>
      <c r="F2" s="1"/>
      <c r="G2" s="1"/>
      <c r="H2" s="1"/>
      <c r="I2" s="1"/>
    </row>
    <row r="4" customFormat="false" ht="27.75" hidden="false" customHeight="true" outlineLevel="0" collapsed="false">
      <c r="B4" s="11" t="s">
        <v>454</v>
      </c>
      <c r="C4" s="11" t="s">
        <v>455</v>
      </c>
      <c r="D4" s="11" t="s">
        <v>456</v>
      </c>
      <c r="E4" s="11" t="s">
        <v>457</v>
      </c>
      <c r="F4" s="11" t="s">
        <v>458</v>
      </c>
      <c r="G4" s="11" t="s">
        <v>459</v>
      </c>
      <c r="H4" s="11" t="s">
        <v>460</v>
      </c>
      <c r="I4" s="11" t="s">
        <v>461</v>
      </c>
      <c r="J4" s="11" t="s">
        <v>462</v>
      </c>
    </row>
    <row r="5" customFormat="false" ht="45" hidden="false" customHeight="true" outlineLevel="0" collapsed="false">
      <c r="B5" s="58" t="s">
        <v>463</v>
      </c>
      <c r="C5" s="12" t="s">
        <v>464</v>
      </c>
      <c r="D5" s="12" t="s">
        <v>465</v>
      </c>
      <c r="E5" s="58" t="s">
        <v>43</v>
      </c>
      <c r="F5" s="13" t="s">
        <v>466</v>
      </c>
      <c r="G5" s="12" t="s">
        <v>467</v>
      </c>
      <c r="H5" s="12" t="s">
        <v>365</v>
      </c>
      <c r="I5" s="58" t="s">
        <v>468</v>
      </c>
      <c r="J5" s="12" t="s">
        <v>469</v>
      </c>
    </row>
    <row r="6" customFormat="false" ht="45" hidden="false" customHeight="true" outlineLevel="0" collapsed="false">
      <c r="B6" s="59" t="s">
        <v>470</v>
      </c>
      <c r="C6" s="13" t="s">
        <v>471</v>
      </c>
      <c r="D6" s="13" t="s">
        <v>472</v>
      </c>
      <c r="E6" s="59" t="s">
        <v>473</v>
      </c>
      <c r="F6" s="13" t="s">
        <v>466</v>
      </c>
      <c r="G6" s="13" t="s">
        <v>474</v>
      </c>
      <c r="H6" s="13" t="s">
        <v>26</v>
      </c>
      <c r="I6" s="59" t="s">
        <v>475</v>
      </c>
      <c r="J6" s="13" t="s">
        <v>476</v>
      </c>
    </row>
    <row r="7" customFormat="false" ht="45" hidden="false" customHeight="true" outlineLevel="0" collapsed="false">
      <c r="B7" s="58" t="s">
        <v>477</v>
      </c>
      <c r="C7" s="12" t="s">
        <v>478</v>
      </c>
      <c r="D7" s="12" t="s">
        <v>479</v>
      </c>
      <c r="E7" s="58" t="s">
        <v>480</v>
      </c>
      <c r="F7" s="13" t="s">
        <v>466</v>
      </c>
      <c r="G7" s="12" t="s">
        <v>481</v>
      </c>
      <c r="H7" s="12" t="s">
        <v>353</v>
      </c>
      <c r="I7" s="58" t="s">
        <v>475</v>
      </c>
      <c r="J7" s="12" t="s">
        <v>482</v>
      </c>
    </row>
    <row r="8" customFormat="false" ht="45" hidden="false" customHeight="true" outlineLevel="0" collapsed="false">
      <c r="B8" s="59" t="s">
        <v>483</v>
      </c>
      <c r="C8" s="13" t="s">
        <v>484</v>
      </c>
      <c r="D8" s="13" t="s">
        <v>485</v>
      </c>
      <c r="E8" s="59" t="s">
        <v>486</v>
      </c>
      <c r="F8" s="13" t="s">
        <v>487</v>
      </c>
      <c r="G8" s="13" t="s">
        <v>488</v>
      </c>
      <c r="H8" s="13" t="s">
        <v>489</v>
      </c>
      <c r="I8" s="59" t="s">
        <v>490</v>
      </c>
      <c r="J8" s="13" t="s">
        <v>491</v>
      </c>
    </row>
    <row r="9" customFormat="false" ht="45" hidden="false" customHeight="true" outlineLevel="0" collapsed="false">
      <c r="B9" s="58" t="s">
        <v>492</v>
      </c>
      <c r="C9" s="12" t="s">
        <v>493</v>
      </c>
      <c r="D9" s="12" t="s">
        <v>494</v>
      </c>
      <c r="E9" s="58" t="s">
        <v>495</v>
      </c>
      <c r="F9" s="13" t="s">
        <v>466</v>
      </c>
      <c r="G9" s="12" t="s">
        <v>496</v>
      </c>
      <c r="H9" s="12" t="s">
        <v>497</v>
      </c>
      <c r="I9" s="58" t="s">
        <v>475</v>
      </c>
      <c r="J9" s="12" t="s">
        <v>498</v>
      </c>
    </row>
    <row r="10" customFormat="false" ht="45" hidden="false" customHeight="true" outlineLevel="0" collapsed="false">
      <c r="B10" s="59" t="s">
        <v>499</v>
      </c>
      <c r="C10" s="13" t="s">
        <v>500</v>
      </c>
      <c r="D10" s="13" t="s">
        <v>501</v>
      </c>
      <c r="E10" s="59" t="s">
        <v>502</v>
      </c>
      <c r="F10" s="13" t="s">
        <v>487</v>
      </c>
      <c r="G10" s="13" t="s">
        <v>503</v>
      </c>
      <c r="H10" s="13" t="s">
        <v>504</v>
      </c>
      <c r="I10" s="59" t="s">
        <v>475</v>
      </c>
      <c r="J10" s="13" t="s">
        <v>505</v>
      </c>
    </row>
    <row r="11" customFormat="false" ht="45" hidden="false" customHeight="true" outlineLevel="0" collapsed="false">
      <c r="B11" s="58" t="s">
        <v>506</v>
      </c>
      <c r="C11" s="12" t="s">
        <v>507</v>
      </c>
      <c r="D11" s="12" t="s">
        <v>508</v>
      </c>
      <c r="E11" s="58" t="s">
        <v>509</v>
      </c>
      <c r="F11" s="13" t="s">
        <v>487</v>
      </c>
      <c r="G11" s="12" t="s">
        <v>510</v>
      </c>
      <c r="H11" s="12" t="s">
        <v>511</v>
      </c>
      <c r="I11" s="58" t="s">
        <v>512</v>
      </c>
      <c r="J11" s="12" t="s">
        <v>513</v>
      </c>
    </row>
    <row r="12" customFormat="false" ht="45" hidden="false" customHeight="true" outlineLevel="0" collapsed="false">
      <c r="B12" s="59" t="s">
        <v>514</v>
      </c>
      <c r="C12" s="13" t="s">
        <v>515</v>
      </c>
      <c r="D12" s="13" t="s">
        <v>516</v>
      </c>
      <c r="E12" s="59" t="s">
        <v>517</v>
      </c>
      <c r="F12" s="13" t="s">
        <v>487</v>
      </c>
      <c r="G12" s="13" t="s">
        <v>518</v>
      </c>
      <c r="H12" s="13" t="s">
        <v>519</v>
      </c>
      <c r="I12" s="59" t="s">
        <v>490</v>
      </c>
      <c r="J12" s="13" t="s">
        <v>520</v>
      </c>
    </row>
    <row r="13" customFormat="false" ht="45" hidden="false" customHeight="true" outlineLevel="0" collapsed="false">
      <c r="B13" s="58" t="s">
        <v>521</v>
      </c>
      <c r="C13" s="12" t="s">
        <v>522</v>
      </c>
      <c r="D13" s="12" t="s">
        <v>523</v>
      </c>
      <c r="E13" s="58" t="s">
        <v>524</v>
      </c>
      <c r="F13" s="13" t="s">
        <v>525</v>
      </c>
      <c r="G13" s="12" t="s">
        <v>526</v>
      </c>
      <c r="H13" s="12" t="s">
        <v>527</v>
      </c>
      <c r="I13" s="58" t="s">
        <v>490</v>
      </c>
      <c r="J13" s="12" t="s">
        <v>528</v>
      </c>
    </row>
    <row r="14" customFormat="false" ht="45" hidden="false" customHeight="true" outlineLevel="0" collapsed="false">
      <c r="B14" s="59" t="s">
        <v>529</v>
      </c>
      <c r="C14" s="13" t="s">
        <v>530</v>
      </c>
      <c r="D14" s="13" t="s">
        <v>531</v>
      </c>
      <c r="E14" s="59" t="s">
        <v>532</v>
      </c>
      <c r="F14" s="13" t="s">
        <v>487</v>
      </c>
      <c r="G14" s="13" t="s">
        <v>533</v>
      </c>
      <c r="H14" s="13" t="s">
        <v>534</v>
      </c>
      <c r="I14" s="59" t="s">
        <v>535</v>
      </c>
      <c r="J14" s="13" t="s">
        <v>536</v>
      </c>
    </row>
  </sheetData>
  <mergeCells count="1">
    <mergeCell ref="B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2026-10-27T11:56:05Z</dcterms:created>
  <dc:creator>openpyxl</dc:creator>
  <dc:description/>
  <dc:language>en-US</dc:language>
  <cp:lastModifiedBy/>
  <dcterms:modified xsi:type="dcterms:W3CDTF">2026-10-27T13:32:46Z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